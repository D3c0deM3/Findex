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B546412-3D07-441A-A7E0-F054694B5B59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Balance" sheetId="1" r:id="rId1"/>
    <sheet name="Profit and loss" sheetId="2" r:id="rId2"/>
    <sheet name="Results" sheetId="3" r:id="rId3"/>
    <sheet name="Лист1" sheetId="4" r:id="rId4"/>
    <sheet name="Лист2" sheetId="5" r:id="rId5"/>
  </sheets>
  <definedNames>
    <definedName name="_xlnm._FilterDatabase" localSheetId="0" hidden="1">Balance!$A$1:$GF$1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6" i="3" l="1"/>
  <c r="N37" i="3"/>
  <c r="O166" i="3" l="1"/>
  <c r="O167" i="3"/>
  <c r="O168" i="3"/>
  <c r="O169" i="3"/>
  <c r="N169" i="3"/>
  <c r="N166" i="3"/>
  <c r="N167" i="3"/>
  <c r="N168" i="3"/>
  <c r="M166" i="3"/>
  <c r="M167" i="3"/>
  <c r="M168" i="3"/>
  <c r="M169" i="3"/>
  <c r="L166" i="3"/>
  <c r="L167" i="3"/>
  <c r="L168" i="3"/>
  <c r="L169" i="3"/>
  <c r="J169" i="3"/>
  <c r="K166" i="3"/>
  <c r="K167" i="3"/>
  <c r="K168" i="3"/>
  <c r="K169" i="3"/>
  <c r="J166" i="3"/>
  <c r="J167" i="3"/>
  <c r="J168" i="3"/>
  <c r="I166" i="3"/>
  <c r="I167" i="3"/>
  <c r="I168" i="3"/>
  <c r="I169" i="3"/>
  <c r="H166" i="3"/>
  <c r="H167" i="3"/>
  <c r="H168" i="3"/>
  <c r="H169" i="3"/>
  <c r="G166" i="3"/>
  <c r="G167" i="3"/>
  <c r="G168" i="3"/>
  <c r="G169" i="3"/>
  <c r="F166" i="3"/>
  <c r="F167" i="3"/>
  <c r="F168" i="3"/>
  <c r="F169" i="3"/>
  <c r="E166" i="3"/>
  <c r="E167" i="3"/>
  <c r="E168" i="3"/>
  <c r="E169" i="3"/>
  <c r="O162" i="3"/>
  <c r="O163" i="3"/>
  <c r="O164" i="3"/>
  <c r="O165" i="3"/>
  <c r="N162" i="3"/>
  <c r="N163" i="3"/>
  <c r="N164" i="3"/>
  <c r="N165" i="3"/>
  <c r="M162" i="3"/>
  <c r="M163" i="3"/>
  <c r="M164" i="3"/>
  <c r="M165" i="3"/>
  <c r="J165" i="3"/>
  <c r="L162" i="3"/>
  <c r="L163" i="3"/>
  <c r="L164" i="3"/>
  <c r="L165" i="3"/>
  <c r="K162" i="3"/>
  <c r="K163" i="3"/>
  <c r="K164" i="3"/>
  <c r="K165" i="3"/>
  <c r="J162" i="3"/>
  <c r="J163" i="3"/>
  <c r="J164" i="3"/>
  <c r="I162" i="3"/>
  <c r="I163" i="3"/>
  <c r="I164" i="3"/>
  <c r="I165" i="3"/>
  <c r="H165" i="3"/>
  <c r="H162" i="3"/>
  <c r="H163" i="3"/>
  <c r="H164" i="3"/>
  <c r="G164" i="3"/>
  <c r="G165" i="3"/>
  <c r="F165" i="3"/>
  <c r="G162" i="3"/>
  <c r="G163" i="3"/>
  <c r="F162" i="3"/>
  <c r="F163" i="3"/>
  <c r="F164" i="3"/>
  <c r="E162" i="3"/>
  <c r="E163" i="3"/>
  <c r="E164" i="3"/>
  <c r="E165" i="3"/>
  <c r="D162" i="3"/>
  <c r="D163" i="3"/>
  <c r="D164" i="3"/>
  <c r="D165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2" i="3"/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2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3" i="3"/>
  <c r="L4" i="3"/>
  <c r="L5" i="3"/>
  <c r="L6" i="3"/>
  <c r="L7" i="3"/>
  <c r="L8" i="3"/>
  <c r="L9" i="3"/>
  <c r="L10" i="3"/>
  <c r="L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F161" i="3"/>
  <c r="K154" i="3"/>
  <c r="K155" i="3"/>
  <c r="K156" i="3"/>
  <c r="K157" i="3"/>
  <c r="K158" i="3"/>
  <c r="K159" i="3"/>
  <c r="K160" i="3"/>
  <c r="K161" i="3"/>
  <c r="J154" i="3"/>
  <c r="J155" i="3"/>
  <c r="J156" i="3"/>
  <c r="J157" i="3"/>
  <c r="J158" i="3"/>
  <c r="J159" i="3"/>
  <c r="J160" i="3"/>
  <c r="J161" i="3"/>
  <c r="I154" i="3"/>
  <c r="I155" i="3"/>
  <c r="I156" i="3"/>
  <c r="I157" i="3"/>
  <c r="I158" i="3"/>
  <c r="I159" i="3"/>
  <c r="I160" i="3"/>
  <c r="I161" i="3"/>
  <c r="H154" i="3"/>
  <c r="H155" i="3"/>
  <c r="H156" i="3"/>
  <c r="H157" i="3"/>
  <c r="H158" i="3"/>
  <c r="H159" i="3"/>
  <c r="H160" i="3"/>
  <c r="H161" i="3"/>
  <c r="G154" i="3"/>
  <c r="G155" i="3"/>
  <c r="G156" i="3"/>
  <c r="G157" i="3"/>
  <c r="G158" i="3"/>
  <c r="G159" i="3"/>
  <c r="G160" i="3"/>
  <c r="G161" i="3"/>
  <c r="F154" i="3"/>
  <c r="F155" i="3"/>
  <c r="F156" i="3"/>
  <c r="F157" i="3"/>
  <c r="F158" i="3"/>
  <c r="F159" i="3"/>
  <c r="F160" i="3"/>
  <c r="D154" i="3"/>
  <c r="D155" i="3"/>
  <c r="D156" i="3"/>
  <c r="D157" i="3"/>
  <c r="D158" i="3"/>
  <c r="D159" i="3"/>
  <c r="D160" i="3"/>
  <c r="D161" i="3"/>
  <c r="K149" i="3"/>
  <c r="K150" i="3"/>
  <c r="K151" i="3"/>
  <c r="K152" i="3"/>
  <c r="K153" i="3"/>
  <c r="J150" i="3"/>
  <c r="J151" i="3"/>
  <c r="J152" i="3"/>
  <c r="J153" i="3"/>
  <c r="I150" i="3"/>
  <c r="I151" i="3"/>
  <c r="I152" i="3"/>
  <c r="I153" i="3"/>
  <c r="H150" i="3"/>
  <c r="H151" i="3"/>
  <c r="H152" i="3"/>
  <c r="H153" i="3"/>
  <c r="G150" i="3"/>
  <c r="G151" i="3"/>
  <c r="G152" i="3"/>
  <c r="G153" i="3"/>
  <c r="F150" i="3"/>
  <c r="F151" i="3"/>
  <c r="F152" i="3"/>
  <c r="F153" i="3"/>
  <c r="D150" i="3"/>
  <c r="D151" i="3"/>
  <c r="D152" i="3"/>
  <c r="D153" i="3"/>
  <c r="GF153" i="1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D147" i="3"/>
  <c r="D148" i="3"/>
  <c r="D149" i="3"/>
  <c r="D141" i="3"/>
  <c r="D142" i="3"/>
  <c r="D143" i="3"/>
  <c r="D144" i="3"/>
  <c r="D145" i="3"/>
  <c r="D146" i="3"/>
  <c r="D130" i="3"/>
  <c r="D131" i="3"/>
  <c r="D132" i="3"/>
  <c r="D133" i="3"/>
  <c r="D134" i="3"/>
  <c r="D135" i="3"/>
  <c r="D136" i="3"/>
  <c r="D137" i="3"/>
  <c r="D138" i="3"/>
  <c r="D139" i="3"/>
  <c r="D140" i="3"/>
  <c r="GF149" i="1"/>
  <c r="GF145" i="1"/>
  <c r="GF141" i="1"/>
  <c r="GF137" i="1"/>
  <c r="GF133" i="1"/>
  <c r="K126" i="3"/>
  <c r="K127" i="3"/>
  <c r="K128" i="3"/>
  <c r="K129" i="3"/>
  <c r="J126" i="3"/>
  <c r="J127" i="3"/>
  <c r="J128" i="3"/>
  <c r="J129" i="3"/>
  <c r="I126" i="3"/>
  <c r="I127" i="3"/>
  <c r="I128" i="3"/>
  <c r="I129" i="3"/>
  <c r="H126" i="3"/>
  <c r="H127" i="3"/>
  <c r="H128" i="3"/>
  <c r="H129" i="3"/>
  <c r="G126" i="3"/>
  <c r="G127" i="3"/>
  <c r="G128" i="3"/>
  <c r="G129" i="3"/>
  <c r="F126" i="3"/>
  <c r="F127" i="3"/>
  <c r="F128" i="3"/>
  <c r="F129" i="3"/>
  <c r="D126" i="3"/>
  <c r="D127" i="3"/>
  <c r="D128" i="3"/>
  <c r="D129" i="3"/>
  <c r="GF129" i="1"/>
  <c r="K122" i="3"/>
  <c r="K123" i="3"/>
  <c r="K124" i="3"/>
  <c r="K125" i="3"/>
  <c r="J122" i="3"/>
  <c r="J123" i="3"/>
  <c r="J124" i="3"/>
  <c r="J125" i="3"/>
  <c r="I122" i="3"/>
  <c r="I123" i="3"/>
  <c r="I124" i="3"/>
  <c r="I125" i="3"/>
  <c r="H122" i="3"/>
  <c r="H123" i="3"/>
  <c r="H124" i="3"/>
  <c r="H125" i="3"/>
  <c r="G122" i="3"/>
  <c r="G123" i="3"/>
  <c r="G124" i="3"/>
  <c r="G125" i="3"/>
  <c r="F122" i="3"/>
  <c r="F123" i="3"/>
  <c r="F124" i="3"/>
  <c r="F125" i="3"/>
  <c r="D122" i="3"/>
  <c r="D123" i="3"/>
  <c r="D124" i="3"/>
  <c r="D125" i="3"/>
  <c r="K118" i="3"/>
  <c r="K119" i="3"/>
  <c r="K120" i="3"/>
  <c r="K121" i="3"/>
  <c r="J118" i="3"/>
  <c r="J119" i="3"/>
  <c r="J120" i="3"/>
  <c r="J121" i="3"/>
  <c r="I118" i="3"/>
  <c r="I119" i="3"/>
  <c r="I120" i="3"/>
  <c r="I121" i="3"/>
  <c r="H117" i="3"/>
  <c r="H118" i="3"/>
  <c r="H119" i="3"/>
  <c r="H120" i="3"/>
  <c r="H121" i="3"/>
  <c r="G121" i="3"/>
  <c r="G118" i="3"/>
  <c r="G119" i="3"/>
  <c r="G120" i="3"/>
  <c r="F118" i="3"/>
  <c r="F119" i="3"/>
  <c r="F120" i="3"/>
  <c r="F121" i="3"/>
  <c r="D118" i="3"/>
  <c r="D119" i="3"/>
  <c r="D120" i="3"/>
  <c r="D121" i="3"/>
  <c r="K114" i="3"/>
  <c r="K115" i="3"/>
  <c r="K116" i="3"/>
  <c r="K117" i="3"/>
  <c r="J114" i="3"/>
  <c r="J115" i="3"/>
  <c r="J116" i="3"/>
  <c r="J117" i="3"/>
  <c r="I114" i="3"/>
  <c r="I115" i="3"/>
  <c r="I116" i="3"/>
  <c r="I117" i="3"/>
  <c r="H114" i="3"/>
  <c r="H115" i="3"/>
  <c r="H116" i="3"/>
  <c r="G114" i="3"/>
  <c r="G115" i="3"/>
  <c r="G116" i="3"/>
  <c r="G117" i="3"/>
  <c r="F114" i="3"/>
  <c r="F115" i="3"/>
  <c r="F116" i="3"/>
  <c r="F117" i="3"/>
  <c r="D113" i="3"/>
  <c r="D114" i="3"/>
  <c r="D115" i="3"/>
  <c r="D116" i="3"/>
  <c r="D117" i="3"/>
  <c r="K110" i="3"/>
  <c r="K111" i="3"/>
  <c r="K112" i="3"/>
  <c r="K113" i="3"/>
  <c r="J110" i="3"/>
  <c r="J111" i="3"/>
  <c r="J112" i="3"/>
  <c r="J113" i="3"/>
  <c r="I110" i="3"/>
  <c r="I111" i="3"/>
  <c r="I112" i="3"/>
  <c r="I113" i="3"/>
  <c r="H110" i="3"/>
  <c r="H111" i="3"/>
  <c r="H112" i="3"/>
  <c r="H113" i="3"/>
  <c r="G110" i="3"/>
  <c r="G111" i="3"/>
  <c r="G112" i="3"/>
  <c r="G113" i="3"/>
  <c r="F110" i="3"/>
  <c r="F111" i="3"/>
  <c r="F112" i="3"/>
  <c r="F113" i="3"/>
  <c r="D110" i="3"/>
  <c r="D111" i="3"/>
  <c r="D112" i="3"/>
  <c r="K106" i="3"/>
  <c r="K107" i="3"/>
  <c r="K108" i="3"/>
  <c r="K109" i="3"/>
  <c r="J106" i="3"/>
  <c r="J107" i="3"/>
  <c r="J108" i="3"/>
  <c r="J109" i="3"/>
  <c r="I106" i="3"/>
  <c r="I107" i="3"/>
  <c r="I108" i="3"/>
  <c r="I109" i="3"/>
  <c r="H106" i="3"/>
  <c r="H107" i="3"/>
  <c r="H108" i="3"/>
  <c r="H109" i="3"/>
  <c r="G106" i="3"/>
  <c r="G107" i="3"/>
  <c r="G108" i="3"/>
  <c r="G109" i="3"/>
  <c r="F106" i="3"/>
  <c r="F107" i="3"/>
  <c r="F108" i="3"/>
  <c r="F109" i="3"/>
  <c r="D106" i="3"/>
  <c r="D107" i="3"/>
  <c r="D108" i="3"/>
  <c r="D109" i="3"/>
  <c r="K102" i="3"/>
  <c r="K103" i="3"/>
  <c r="K104" i="3"/>
  <c r="K105" i="3"/>
  <c r="J102" i="3"/>
  <c r="J103" i="3"/>
  <c r="J104" i="3"/>
  <c r="J105" i="3"/>
  <c r="I102" i="3"/>
  <c r="I103" i="3"/>
  <c r="I104" i="3"/>
  <c r="I105" i="3"/>
  <c r="H102" i="3"/>
  <c r="H103" i="3"/>
  <c r="H104" i="3"/>
  <c r="H105" i="3"/>
  <c r="G102" i="3"/>
  <c r="G103" i="3"/>
  <c r="G104" i="3"/>
  <c r="G105" i="3"/>
  <c r="F102" i="3"/>
  <c r="F103" i="3"/>
  <c r="F104" i="3"/>
  <c r="F105" i="3"/>
  <c r="D102" i="3"/>
  <c r="D103" i="3"/>
  <c r="D104" i="3"/>
  <c r="D105" i="3"/>
  <c r="K98" i="3"/>
  <c r="K99" i="3"/>
  <c r="K100" i="3"/>
  <c r="K101" i="3"/>
  <c r="J98" i="3"/>
  <c r="J99" i="3"/>
  <c r="J100" i="3"/>
  <c r="J101" i="3"/>
  <c r="I98" i="3"/>
  <c r="I99" i="3"/>
  <c r="I100" i="3"/>
  <c r="I101" i="3"/>
  <c r="H98" i="3"/>
  <c r="H99" i="3"/>
  <c r="H100" i="3"/>
  <c r="H101" i="3"/>
  <c r="G98" i="3"/>
  <c r="G99" i="3"/>
  <c r="G100" i="3"/>
  <c r="G101" i="3"/>
  <c r="F98" i="3"/>
  <c r="F99" i="3"/>
  <c r="F100" i="3"/>
  <c r="F101" i="3"/>
  <c r="D97" i="3"/>
  <c r="D98" i="3"/>
  <c r="D99" i="3"/>
  <c r="D100" i="3"/>
  <c r="D101" i="3"/>
  <c r="K94" i="3"/>
  <c r="K95" i="3"/>
  <c r="K96" i="3"/>
  <c r="K97" i="3"/>
  <c r="J94" i="3"/>
  <c r="J95" i="3"/>
  <c r="J96" i="3"/>
  <c r="J97" i="3"/>
  <c r="I94" i="3"/>
  <c r="I95" i="3"/>
  <c r="I96" i="3"/>
  <c r="I97" i="3"/>
  <c r="H94" i="3"/>
  <c r="H95" i="3"/>
  <c r="H96" i="3"/>
  <c r="H97" i="3"/>
  <c r="G94" i="3"/>
  <c r="G95" i="3"/>
  <c r="G96" i="3"/>
  <c r="G97" i="3"/>
  <c r="F94" i="3"/>
  <c r="F95" i="3"/>
  <c r="F96" i="3"/>
  <c r="F97" i="3"/>
  <c r="D95" i="3"/>
  <c r="D96" i="3"/>
  <c r="D94" i="3"/>
  <c r="K90" i="3"/>
  <c r="K91" i="3"/>
  <c r="K92" i="3"/>
  <c r="K93" i="3"/>
  <c r="J90" i="3"/>
  <c r="J91" i="3"/>
  <c r="J92" i="3"/>
  <c r="J93" i="3"/>
  <c r="I89" i="3"/>
  <c r="I90" i="3"/>
  <c r="I91" i="3"/>
  <c r="I92" i="3"/>
  <c r="I93" i="3"/>
  <c r="H90" i="3"/>
  <c r="H91" i="3"/>
  <c r="H92" i="3"/>
  <c r="H93" i="3"/>
  <c r="G90" i="3"/>
  <c r="G91" i="3"/>
  <c r="G92" i="3"/>
  <c r="G93" i="3"/>
  <c r="F90" i="3"/>
  <c r="F91" i="3"/>
  <c r="F92" i="3"/>
  <c r="F93" i="3"/>
  <c r="D90" i="3"/>
  <c r="D91" i="3"/>
  <c r="D92" i="3"/>
  <c r="D93" i="3"/>
  <c r="K82" i="3"/>
  <c r="K83" i="3"/>
  <c r="K84" i="3"/>
  <c r="K85" i="3"/>
  <c r="K86" i="3"/>
  <c r="K87" i="3"/>
  <c r="K88" i="3"/>
  <c r="K89" i="3"/>
  <c r="J82" i="3"/>
  <c r="J83" i="3"/>
  <c r="J84" i="3"/>
  <c r="J85" i="3"/>
  <c r="J86" i="3"/>
  <c r="J87" i="3"/>
  <c r="J88" i="3"/>
  <c r="J89" i="3"/>
  <c r="I81" i="3"/>
  <c r="I82" i="3"/>
  <c r="I83" i="3"/>
  <c r="I84" i="3"/>
  <c r="I85" i="3"/>
  <c r="I86" i="3"/>
  <c r="I87" i="3"/>
  <c r="I88" i="3"/>
  <c r="H82" i="3"/>
  <c r="H83" i="3"/>
  <c r="H84" i="3"/>
  <c r="H85" i="3"/>
  <c r="H86" i="3"/>
  <c r="H87" i="3"/>
  <c r="H88" i="3"/>
  <c r="H89" i="3"/>
  <c r="G82" i="3"/>
  <c r="G83" i="3"/>
  <c r="G84" i="3"/>
  <c r="G85" i="3"/>
  <c r="G86" i="3"/>
  <c r="G87" i="3"/>
  <c r="G88" i="3"/>
  <c r="G89" i="3"/>
  <c r="F82" i="3"/>
  <c r="F83" i="3"/>
  <c r="F84" i="3"/>
  <c r="F85" i="3"/>
  <c r="F86" i="3"/>
  <c r="F87" i="3"/>
  <c r="F88" i="3"/>
  <c r="F89" i="3"/>
  <c r="D89" i="3"/>
  <c r="D82" i="3"/>
  <c r="D83" i="3"/>
  <c r="D84" i="3"/>
  <c r="D85" i="3"/>
  <c r="D86" i="3"/>
  <c r="D87" i="3"/>
  <c r="D88" i="3"/>
  <c r="K78" i="3"/>
  <c r="K79" i="3"/>
  <c r="K80" i="3"/>
  <c r="K81" i="3"/>
  <c r="J78" i="3"/>
  <c r="J79" i="3"/>
  <c r="J80" i="3"/>
  <c r="J81" i="3"/>
  <c r="I78" i="3"/>
  <c r="I79" i="3"/>
  <c r="I80" i="3"/>
  <c r="H78" i="3"/>
  <c r="H79" i="3"/>
  <c r="H80" i="3"/>
  <c r="H81" i="3"/>
  <c r="G78" i="3"/>
  <c r="G79" i="3"/>
  <c r="G80" i="3"/>
  <c r="G81" i="3"/>
  <c r="F78" i="3"/>
  <c r="F79" i="3"/>
  <c r="F80" i="3"/>
  <c r="F81" i="3"/>
  <c r="D78" i="3"/>
  <c r="D79" i="3"/>
  <c r="D80" i="3"/>
  <c r="D81" i="3"/>
  <c r="K74" i="3"/>
  <c r="K75" i="3"/>
  <c r="K76" i="3"/>
  <c r="K77" i="3"/>
  <c r="J74" i="3"/>
  <c r="J75" i="3"/>
  <c r="J76" i="3"/>
  <c r="J77" i="3"/>
  <c r="I74" i="3"/>
  <c r="I75" i="3"/>
  <c r="I76" i="3"/>
  <c r="I77" i="3"/>
  <c r="H74" i="3"/>
  <c r="H75" i="3"/>
  <c r="H76" i="3"/>
  <c r="H77" i="3"/>
  <c r="G74" i="3"/>
  <c r="G75" i="3"/>
  <c r="G76" i="3"/>
  <c r="G77" i="3"/>
  <c r="F74" i="3"/>
  <c r="F75" i="3"/>
  <c r="F76" i="3"/>
  <c r="F77" i="3"/>
  <c r="D74" i="3"/>
  <c r="D75" i="3"/>
  <c r="D76" i="3"/>
  <c r="D77" i="3"/>
  <c r="K69" i="3"/>
  <c r="K70" i="3"/>
  <c r="K71" i="3"/>
  <c r="K72" i="3"/>
  <c r="K73" i="3"/>
  <c r="J68" i="3"/>
  <c r="J69" i="3"/>
  <c r="J70" i="3"/>
  <c r="J71" i="3"/>
  <c r="J72" i="3"/>
  <c r="J73" i="3"/>
  <c r="I69" i="3"/>
  <c r="I70" i="3"/>
  <c r="I71" i="3"/>
  <c r="I72" i="3"/>
  <c r="I73" i="3"/>
  <c r="H69" i="3"/>
  <c r="H70" i="3"/>
  <c r="H71" i="3"/>
  <c r="H72" i="3"/>
  <c r="H73" i="3"/>
  <c r="G70" i="3"/>
  <c r="G71" i="3"/>
  <c r="G72" i="3"/>
  <c r="G73" i="3"/>
  <c r="F70" i="3"/>
  <c r="F71" i="3"/>
  <c r="F72" i="3"/>
  <c r="F73" i="3"/>
  <c r="D70" i="3"/>
  <c r="D71" i="3"/>
  <c r="D72" i="3"/>
  <c r="D73" i="3"/>
  <c r="K65" i="3"/>
  <c r="K66" i="3"/>
  <c r="K67" i="3"/>
  <c r="K68" i="3"/>
  <c r="J65" i="3"/>
  <c r="J66" i="3"/>
  <c r="J67" i="3"/>
  <c r="I65" i="3"/>
  <c r="I66" i="3"/>
  <c r="I67" i="3"/>
  <c r="I68" i="3"/>
  <c r="H65" i="3"/>
  <c r="H66" i="3"/>
  <c r="H67" i="3"/>
  <c r="H68" i="3"/>
  <c r="G66" i="3"/>
  <c r="G67" i="3"/>
  <c r="G68" i="3"/>
  <c r="G69" i="3"/>
  <c r="F66" i="3"/>
  <c r="F67" i="3"/>
  <c r="F68" i="3"/>
  <c r="F69" i="3"/>
  <c r="D66" i="3"/>
  <c r="D67" i="3"/>
  <c r="D68" i="3"/>
  <c r="D69" i="3"/>
  <c r="K62" i="3"/>
  <c r="K63" i="3"/>
  <c r="K64" i="3"/>
  <c r="J62" i="3"/>
  <c r="J63" i="3"/>
  <c r="J64" i="3"/>
  <c r="I62" i="3"/>
  <c r="I63" i="3"/>
  <c r="I64" i="3"/>
  <c r="H62" i="3"/>
  <c r="H63" i="3"/>
  <c r="H64" i="3"/>
  <c r="G62" i="3"/>
  <c r="G63" i="3"/>
  <c r="G64" i="3"/>
  <c r="G65" i="3"/>
  <c r="F62" i="3"/>
  <c r="F63" i="3"/>
  <c r="F64" i="3"/>
  <c r="F65" i="3"/>
  <c r="D62" i="3"/>
  <c r="D63" i="3"/>
  <c r="D64" i="3"/>
  <c r="D65" i="3"/>
  <c r="K58" i="3"/>
  <c r="K59" i="3"/>
  <c r="K60" i="3"/>
  <c r="K61" i="3"/>
  <c r="J58" i="3"/>
  <c r="J59" i="3"/>
  <c r="J60" i="3"/>
  <c r="J61" i="3"/>
  <c r="I58" i="3"/>
  <c r="I59" i="3"/>
  <c r="I60" i="3"/>
  <c r="I61" i="3"/>
  <c r="H58" i="3"/>
  <c r="H59" i="3"/>
  <c r="H60" i="3"/>
  <c r="H61" i="3"/>
  <c r="G58" i="3"/>
  <c r="G59" i="3"/>
  <c r="G60" i="3"/>
  <c r="G61" i="3"/>
  <c r="F58" i="3"/>
  <c r="F59" i="3"/>
  <c r="F60" i="3"/>
  <c r="F61" i="3"/>
  <c r="D58" i="3"/>
  <c r="D59" i="3"/>
  <c r="D60" i="3"/>
  <c r="D61" i="3"/>
  <c r="K53" i="3"/>
  <c r="K54" i="3"/>
  <c r="K55" i="3"/>
  <c r="K56" i="3"/>
  <c r="K57" i="3"/>
  <c r="J53" i="3"/>
  <c r="J54" i="3"/>
  <c r="J55" i="3"/>
  <c r="J56" i="3"/>
  <c r="J57" i="3"/>
  <c r="I53" i="3"/>
  <c r="I54" i="3"/>
  <c r="I55" i="3"/>
  <c r="I56" i="3"/>
  <c r="I57" i="3"/>
  <c r="H52" i="3"/>
  <c r="H53" i="3"/>
  <c r="H54" i="3"/>
  <c r="H55" i="3"/>
  <c r="H56" i="3"/>
  <c r="H57" i="3"/>
  <c r="G54" i="3"/>
  <c r="G55" i="3"/>
  <c r="G56" i="3"/>
  <c r="G57" i="3"/>
  <c r="F54" i="3"/>
  <c r="F55" i="3"/>
  <c r="F56" i="3"/>
  <c r="F57" i="3"/>
  <c r="D54" i="3"/>
  <c r="D55" i="3"/>
  <c r="D56" i="3"/>
  <c r="D57" i="3"/>
  <c r="K46" i="3"/>
  <c r="K47" i="3"/>
  <c r="K48" i="3"/>
  <c r="K49" i="3"/>
  <c r="K50" i="3"/>
  <c r="K51" i="3"/>
  <c r="K52" i="3"/>
  <c r="J44" i="3"/>
  <c r="J45" i="3"/>
  <c r="J46" i="3"/>
  <c r="J47" i="3"/>
  <c r="J48" i="3"/>
  <c r="J49" i="3"/>
  <c r="J50" i="3"/>
  <c r="J51" i="3"/>
  <c r="J52" i="3"/>
  <c r="I45" i="3"/>
  <c r="I46" i="3"/>
  <c r="I47" i="3"/>
  <c r="I48" i="3"/>
  <c r="I49" i="3"/>
  <c r="I50" i="3"/>
  <c r="I51" i="3"/>
  <c r="I52" i="3"/>
  <c r="H45" i="3"/>
  <c r="H46" i="3"/>
  <c r="H47" i="3"/>
  <c r="H48" i="3"/>
  <c r="H49" i="3"/>
  <c r="H50" i="3"/>
  <c r="H51" i="3"/>
  <c r="G45" i="3"/>
  <c r="G46" i="3"/>
  <c r="G47" i="3"/>
  <c r="G48" i="3"/>
  <c r="G49" i="3"/>
  <c r="G50" i="3"/>
  <c r="G51" i="3"/>
  <c r="G52" i="3"/>
  <c r="G53" i="3"/>
  <c r="F46" i="3"/>
  <c r="F47" i="3"/>
  <c r="F48" i="3"/>
  <c r="F49" i="3"/>
  <c r="F50" i="3"/>
  <c r="F51" i="3"/>
  <c r="F52" i="3"/>
  <c r="F53" i="3"/>
  <c r="D50" i="3"/>
  <c r="D51" i="3"/>
  <c r="D52" i="3"/>
  <c r="D53" i="3"/>
  <c r="D46" i="3"/>
  <c r="D47" i="3"/>
  <c r="D48" i="3"/>
  <c r="D49" i="3"/>
  <c r="K42" i="3"/>
  <c r="K43" i="3"/>
  <c r="K44" i="3"/>
  <c r="K45" i="3"/>
  <c r="J42" i="3"/>
  <c r="J43" i="3"/>
  <c r="I42" i="3"/>
  <c r="I43" i="3"/>
  <c r="I44" i="3"/>
  <c r="H42" i="3"/>
  <c r="H43" i="3"/>
  <c r="H44" i="3"/>
  <c r="G42" i="3"/>
  <c r="G43" i="3"/>
  <c r="G44" i="3"/>
  <c r="F42" i="3"/>
  <c r="F43" i="3"/>
  <c r="F44" i="3"/>
  <c r="F45" i="3"/>
  <c r="D42" i="3"/>
  <c r="D43" i="3"/>
  <c r="D44" i="3"/>
  <c r="D45" i="3"/>
  <c r="K38" i="3"/>
  <c r="K39" i="3"/>
  <c r="K40" i="3"/>
  <c r="K41" i="3"/>
  <c r="J38" i="3"/>
  <c r="J39" i="3"/>
  <c r="J40" i="3"/>
  <c r="J41" i="3"/>
  <c r="I38" i="3"/>
  <c r="I39" i="3"/>
  <c r="I40" i="3"/>
  <c r="I41" i="3"/>
  <c r="H38" i="3"/>
  <c r="H39" i="3"/>
  <c r="H40" i="3"/>
  <c r="H41" i="3"/>
  <c r="G38" i="3"/>
  <c r="G39" i="3"/>
  <c r="G40" i="3"/>
  <c r="G41" i="3"/>
  <c r="F38" i="3"/>
  <c r="F39" i="3"/>
  <c r="F40" i="3"/>
  <c r="F41" i="3"/>
  <c r="D38" i="3"/>
  <c r="D39" i="3"/>
  <c r="D40" i="3"/>
  <c r="D41" i="3"/>
  <c r="K34" i="3"/>
  <c r="K35" i="3"/>
  <c r="K36" i="3"/>
  <c r="K37" i="3"/>
  <c r="J34" i="3"/>
  <c r="J35" i="3"/>
  <c r="J36" i="3"/>
  <c r="J37" i="3"/>
  <c r="I34" i="3"/>
  <c r="I35" i="3"/>
  <c r="I36" i="3"/>
  <c r="I37" i="3"/>
  <c r="H34" i="3"/>
  <c r="H35" i="3"/>
  <c r="H36" i="3"/>
  <c r="H37" i="3"/>
  <c r="G34" i="3"/>
  <c r="G35" i="3"/>
  <c r="G36" i="3"/>
  <c r="G37" i="3"/>
  <c r="F34" i="3"/>
  <c r="F35" i="3"/>
  <c r="F36" i="3"/>
  <c r="F37" i="3"/>
  <c r="D34" i="3"/>
  <c r="D35" i="3"/>
  <c r="D36" i="3"/>
  <c r="D37" i="3"/>
  <c r="K30" i="3"/>
  <c r="K31" i="3"/>
  <c r="K32" i="3"/>
  <c r="K33" i="3"/>
  <c r="J30" i="3"/>
  <c r="J31" i="3"/>
  <c r="J32" i="3"/>
  <c r="J33" i="3"/>
  <c r="I30" i="3"/>
  <c r="I31" i="3"/>
  <c r="I32" i="3"/>
  <c r="I33" i="3"/>
  <c r="H30" i="3"/>
  <c r="H31" i="3"/>
  <c r="H32" i="3"/>
  <c r="H33" i="3"/>
  <c r="G30" i="3"/>
  <c r="G31" i="3"/>
  <c r="G32" i="3"/>
  <c r="G33" i="3"/>
  <c r="F30" i="3"/>
  <c r="F31" i="3"/>
  <c r="F32" i="3"/>
  <c r="F33" i="3"/>
  <c r="D30" i="3"/>
  <c r="D31" i="3"/>
  <c r="D32" i="3"/>
  <c r="D33" i="3"/>
  <c r="D2" i="3"/>
  <c r="D19" i="3"/>
  <c r="D20" i="3"/>
  <c r="D21" i="3"/>
  <c r="D22" i="3"/>
  <c r="D23" i="3"/>
  <c r="D24" i="3"/>
  <c r="D25" i="3"/>
  <c r="D26" i="3"/>
  <c r="D27" i="3"/>
  <c r="D28" i="3"/>
  <c r="D29" i="3"/>
  <c r="K26" i="3"/>
  <c r="K27" i="3"/>
  <c r="K28" i="3"/>
  <c r="K29" i="3"/>
  <c r="J26" i="3"/>
  <c r="J27" i="3"/>
  <c r="J28" i="3"/>
  <c r="J29" i="3"/>
  <c r="I26" i="3"/>
  <c r="I27" i="3"/>
  <c r="I28" i="3"/>
  <c r="I29" i="3"/>
  <c r="H26" i="3"/>
  <c r="H27" i="3"/>
  <c r="H28" i="3"/>
  <c r="H29" i="3"/>
  <c r="G26" i="3"/>
  <c r="G27" i="3"/>
  <c r="G28" i="3"/>
  <c r="G29" i="3"/>
  <c r="F26" i="3"/>
  <c r="F27" i="3"/>
  <c r="F28" i="3"/>
  <c r="F29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G18" i="3"/>
  <c r="G19" i="3"/>
  <c r="G20" i="3"/>
  <c r="G21" i="3"/>
  <c r="G22" i="3"/>
  <c r="G23" i="3"/>
  <c r="G24" i="3"/>
  <c r="G25" i="3"/>
  <c r="F18" i="3"/>
  <c r="F19" i="3"/>
  <c r="F20" i="3"/>
  <c r="F21" i="3"/>
  <c r="F22" i="3"/>
  <c r="F23" i="3"/>
  <c r="F24" i="3"/>
  <c r="F25" i="3"/>
  <c r="G14" i="3"/>
  <c r="G15" i="3"/>
  <c r="G16" i="3"/>
  <c r="G17" i="3"/>
  <c r="F14" i="3"/>
  <c r="F15" i="3"/>
  <c r="F16" i="3"/>
  <c r="F17" i="3"/>
  <c r="G11" i="3"/>
  <c r="G12" i="3"/>
  <c r="G13" i="3"/>
  <c r="F10" i="3"/>
  <c r="F11" i="3"/>
  <c r="F12" i="3"/>
  <c r="F13" i="3"/>
  <c r="G10" i="3"/>
  <c r="G6" i="3"/>
  <c r="G7" i="3"/>
  <c r="G8" i="3"/>
  <c r="G9" i="3"/>
  <c r="F6" i="3"/>
  <c r="F7" i="3"/>
  <c r="F8" i="3"/>
  <c r="F9" i="3"/>
  <c r="G2" i="3"/>
  <c r="G3" i="3"/>
  <c r="G4" i="3"/>
  <c r="G5" i="3"/>
  <c r="F2" i="3"/>
  <c r="F3" i="3"/>
  <c r="F4" i="3"/>
  <c r="F5" i="3"/>
</calcChain>
</file>

<file path=xl/sharedStrings.xml><?xml version="1.0" encoding="utf-8"?>
<sst xmlns="http://schemas.openxmlformats.org/spreadsheetml/2006/main" count="1100" uniqueCount="166">
  <si>
    <t>N</t>
  </si>
  <si>
    <t>PACKAGE</t>
  </si>
  <si>
    <t>TAXCODE</t>
  </si>
  <si>
    <t>TIN</t>
  </si>
  <si>
    <t>NAME</t>
  </si>
  <si>
    <t>NS10_CODE</t>
  </si>
  <si>
    <t>NS11_CODE</t>
  </si>
  <si>
    <t>NS13_CODE</t>
  </si>
  <si>
    <t>NA1_CODE</t>
  </si>
  <si>
    <t>YEAR</t>
  </si>
  <si>
    <t>PERIOD</t>
  </si>
  <si>
    <t>PTYPE</t>
  </si>
  <si>
    <t>TYPE</t>
  </si>
  <si>
    <t>STATE</t>
  </si>
  <si>
    <t>MAX(T.DATESENT)</t>
  </si>
  <si>
    <t>SUM010</t>
  </si>
  <si>
    <t>SUM011</t>
  </si>
  <si>
    <t>SUM012</t>
  </si>
  <si>
    <t>SUM020</t>
  </si>
  <si>
    <t>SUM021</t>
  </si>
  <si>
    <t>SUM022</t>
  </si>
  <si>
    <t>SUM030</t>
  </si>
  <si>
    <t>SUM040</t>
  </si>
  <si>
    <t>SUM050</t>
  </si>
  <si>
    <t>SUM060</t>
  </si>
  <si>
    <t>SUM070</t>
  </si>
  <si>
    <t>SUM080</t>
  </si>
  <si>
    <t>SUM090</t>
  </si>
  <si>
    <t>SUM100</t>
  </si>
  <si>
    <t>SUM110</t>
  </si>
  <si>
    <t>SUM120</t>
  </si>
  <si>
    <t>SUM130</t>
  </si>
  <si>
    <t>SUM140</t>
  </si>
  <si>
    <t>SUM150</t>
  </si>
  <si>
    <t>SUM160</t>
  </si>
  <si>
    <t>SUM170</t>
  </si>
  <si>
    <t>SUM180</t>
  </si>
  <si>
    <t>SUM190</t>
  </si>
  <si>
    <t>SUM200</t>
  </si>
  <si>
    <t>SUM210</t>
  </si>
  <si>
    <t>SUM211</t>
  </si>
  <si>
    <t>SUM220</t>
  </si>
  <si>
    <t>SUM230</t>
  </si>
  <si>
    <t>SUM240</t>
  </si>
  <si>
    <t>SUM250</t>
  </si>
  <si>
    <t>SUM260</t>
  </si>
  <si>
    <t>SUM270</t>
  </si>
  <si>
    <t>SUM280</t>
  </si>
  <si>
    <t>SUM290</t>
  </si>
  <si>
    <t>SUM300</t>
  </si>
  <si>
    <t>SUM310</t>
  </si>
  <si>
    <t>SUM320</t>
  </si>
  <si>
    <t>SUM330</t>
  </si>
  <si>
    <t>SUM340</t>
  </si>
  <si>
    <t>SUM350</t>
  </si>
  <si>
    <t>SUM360</t>
  </si>
  <si>
    <t>SUM370</t>
  </si>
  <si>
    <t>SUM380</t>
  </si>
  <si>
    <t>SUM390</t>
  </si>
  <si>
    <t>SUM400</t>
  </si>
  <si>
    <t>SUM410</t>
  </si>
  <si>
    <t>SUM420</t>
  </si>
  <si>
    <t>SUM430</t>
  </si>
  <si>
    <t>SUM440</t>
  </si>
  <si>
    <t>SUM450</t>
  </si>
  <si>
    <t>SUM460</t>
  </si>
  <si>
    <t>SUM470</t>
  </si>
  <si>
    <t>SUM480</t>
  </si>
  <si>
    <t>SUM490</t>
  </si>
  <si>
    <t>SUM491</t>
  </si>
  <si>
    <t>SUM500</t>
  </si>
  <si>
    <t>SUM510</t>
  </si>
  <si>
    <t>SUM520</t>
  </si>
  <si>
    <t>SUM530</t>
  </si>
  <si>
    <t>SUM540</t>
  </si>
  <si>
    <t>SUM550</t>
  </si>
  <si>
    <t>SUM560</t>
  </si>
  <si>
    <t>SUM570</t>
  </si>
  <si>
    <t>SUM580</t>
  </si>
  <si>
    <t>SUM590</t>
  </si>
  <si>
    <t>SUM600</t>
  </si>
  <si>
    <t>SUM601</t>
  </si>
  <si>
    <t>SUM602</t>
  </si>
  <si>
    <t>SUM610</t>
  </si>
  <si>
    <t>SUM620</t>
  </si>
  <si>
    <t>SUM630</t>
  </si>
  <si>
    <t>SUM640</t>
  </si>
  <si>
    <t>SUM650</t>
  </si>
  <si>
    <t>SUM660</t>
  </si>
  <si>
    <t>SUM670</t>
  </si>
  <si>
    <t>SUM680</t>
  </si>
  <si>
    <t>SUM690</t>
  </si>
  <si>
    <t>SUM700</t>
  </si>
  <si>
    <t>SUM710</t>
  </si>
  <si>
    <t>SUM720</t>
  </si>
  <si>
    <t>SUM730</t>
  </si>
  <si>
    <t>SUM740</t>
  </si>
  <si>
    <t>SUM750</t>
  </si>
  <si>
    <t>SUM760</t>
  </si>
  <si>
    <t>SUM770</t>
  </si>
  <si>
    <t>SUM780</t>
  </si>
  <si>
    <t>SUM030Z</t>
  </si>
  <si>
    <t>SUM100Z</t>
  </si>
  <si>
    <t>SUM220Z</t>
  </si>
  <si>
    <t>SUM240Z</t>
  </si>
  <si>
    <t>SUM270Z</t>
  </si>
  <si>
    <t>Name</t>
  </si>
  <si>
    <t>Year</t>
  </si>
  <si>
    <t>id</t>
  </si>
  <si>
    <t>lnTA</t>
  </si>
  <si>
    <t>DER</t>
  </si>
  <si>
    <t>LIQ</t>
  </si>
  <si>
    <t>"ANDIJONYOG'MOY" AJ</t>
  </si>
  <si>
    <t>"ASAKA YOG'" AJ</t>
  </si>
  <si>
    <t>"GULISTON EKSTRAKT-YOG'" AJ</t>
  </si>
  <si>
    <t>"YANGIYO'L YOG'-MOY" AJ</t>
  </si>
  <si>
    <t>"QARSHI YOG'-EKSTRAKSIYA" AJ</t>
  </si>
  <si>
    <t>YOG`GAR AJ</t>
  </si>
  <si>
    <t>DAR</t>
  </si>
  <si>
    <t>OPM</t>
  </si>
  <si>
    <t>lnEQ</t>
  </si>
  <si>
    <t>INT</t>
  </si>
  <si>
    <t>"YEROSTIGAZ" AJ</t>
  </si>
  <si>
    <t>ROE</t>
  </si>
  <si>
    <t>"JANUBSANOATMONTAJ" AJ</t>
  </si>
  <si>
    <t>"O'ZELEKTROTERM" AJ</t>
  </si>
  <si>
    <t>"NAMANGANMASH" AJ</t>
  </si>
  <si>
    <t>"KARBONAT" AJ</t>
  </si>
  <si>
    <t>"JIZZAX PLASTMASSA" AJ</t>
  </si>
  <si>
    <t>КООП."РАДУГА"</t>
  </si>
  <si>
    <t>"QONIRAT UN ZAVODI" AJ</t>
  </si>
  <si>
    <t>"URGANCHKORMMASH" AJ</t>
  </si>
  <si>
    <t>"BOG'OT DON" AJ</t>
  </si>
  <si>
    <t>"OHANGARONSHIFER" AJ</t>
  </si>
  <si>
    <t>"SURXONOZIQOVQATSANOATI" AJ</t>
  </si>
  <si>
    <t>"O'ZINTERIMPEKS" AJ</t>
  </si>
  <si>
    <t>"POD'EMNIK" AJ</t>
  </si>
  <si>
    <t>"TOSHKENT YOG`-MOY KOMBINATI" AJ</t>
  </si>
  <si>
    <t>"TO`YTEPA METALL QURILMALARI " AJ</t>
  </si>
  <si>
    <t>"1-TEMIR BETON MAHSULOTLARI ZAVODI" AJ</t>
  </si>
  <si>
    <t>"SUVMASH" AJ</t>
  </si>
  <si>
    <t>"QASHQADARYODONMAHSULOTLARI" AJ</t>
  </si>
  <si>
    <t>"AGREGAT ZAVODI" AJ</t>
  </si>
  <si>
    <t>"UZSALAMAN" AJ</t>
  </si>
  <si>
    <t>FOTON  AJ</t>
  </si>
  <si>
    <t>"KOGONDONMAXSULOTLARI" AJ</t>
  </si>
  <si>
    <t>"TEXNOLOG" AJ</t>
  </si>
  <si>
    <t>"SAMARQANDDONMAHSULOTLARI" AJ</t>
  </si>
  <si>
    <t>"BUXORO TA'MIRLASH MEXANIKA ZAVODI" AJ</t>
  </si>
  <si>
    <t>"SEAL MAG" AJ</t>
  </si>
  <si>
    <t>"QIZILTEPA UN ZAVODI" AJ</t>
  </si>
  <si>
    <t>"JUMA ELEVATORI" AJ</t>
  </si>
  <si>
    <t>"SAMARQAND-KONSERVA" AJ</t>
  </si>
  <si>
    <t>"INDORAMA KOKAND FERTILIZERS AND CHEMICALS" AJ</t>
  </si>
  <si>
    <t>"QUVA DON MAHSULOTLARI" AJ</t>
  </si>
  <si>
    <t>"QO'QON MEXANIKA ZAVODI" AJ</t>
  </si>
  <si>
    <t>FATA</t>
  </si>
  <si>
    <t>ROA</t>
  </si>
  <si>
    <t>Cost of debt</t>
  </si>
  <si>
    <t xml:space="preserve">Debt burden </t>
  </si>
  <si>
    <t xml:space="preserve">Name </t>
  </si>
  <si>
    <t xml:space="preserve">Cost of debt </t>
  </si>
  <si>
    <t>Debt burden</t>
  </si>
  <si>
    <t xml:space="preserve"> </t>
  </si>
  <si>
    <t>АО "SHOVOT DON MAHSULOTLARI"</t>
  </si>
  <si>
    <t>"BOSHLIQ DON MAHSULOTLARI" MCHJ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</si>
</sst>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dd\.mm\.yyyy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</cellStyleXfs>
  <cellXfs count="27">
    <xf numFmtId="0" fontId="0" fillId="0" borderId="0" xfId="0"/>
    <xf numFmtId="2" fontId="3" fillId="0" borderId="0" xfId="2" applyNumberFormat="1" applyAlignment="1">
      <alignment horizontal="right"/>
    </xf>
    <xf numFmtId="2" fontId="3" fillId="2" borderId="0" xfId="2" applyNumberFormat="1" applyFill="1" applyAlignment="1">
      <alignment horizontal="right"/>
    </xf>
    <xf numFmtId="0" fontId="3" fillId="0" borderId="0" xfId="2"/>
    <xf numFmtId="1" fontId="3" fillId="0" borderId="0" xfId="2" applyNumberFormat="1" applyAlignment="1">
      <alignment horizontal="right"/>
    </xf>
    <xf numFmtId="165" fontId="0" fillId="0" borderId="0" xfId="3" applyNumberFormat="1" applyFont="1" applyAlignment="1">
      <alignment horizontal="right"/>
    </xf>
    <xf numFmtId="166" fontId="3" fillId="0" borderId="0" xfId="2" applyNumberFormat="1"/>
    <xf numFmtId="0" fontId="3" fillId="0" borderId="0" xfId="1" applyNumberFormat="1" applyFont="1" applyAlignment="1">
      <alignment horizontal="right"/>
    </xf>
    <xf numFmtId="0" fontId="3" fillId="0" borderId="0" xfId="2" applyAlignment="1">
      <alignment horizontal="right"/>
    </xf>
    <xf numFmtId="0" fontId="0" fillId="0" borderId="0" xfId="0" applyAlignment="1">
      <alignment horizontal="right"/>
    </xf>
    <xf numFmtId="0" fontId="4" fillId="0" borderId="0" xfId="2" applyFont="1" applyAlignment="1">
      <alignment horizontal="center" vertical="center" wrapText="1"/>
    </xf>
    <xf numFmtId="0" fontId="4" fillId="0" borderId="0" xfId="2" applyFont="1"/>
    <xf numFmtId="0" fontId="4" fillId="2" borderId="0" xfId="2" applyFont="1" applyFill="1" applyAlignment="1">
      <alignment horizontal="center" vertical="center" wrapText="1"/>
    </xf>
    <xf numFmtId="0" fontId="4" fillId="0" borderId="0" xfId="2" applyFont="1" applyAlignment="1">
      <alignment horizontal="right" vertical="center" wrapText="1"/>
    </xf>
    <xf numFmtId="165" fontId="3" fillId="2" borderId="0" xfId="2" applyNumberFormat="1" applyFill="1"/>
    <xf numFmtId="0" fontId="2" fillId="0" borderId="0" xfId="0" applyFont="1" applyAlignment="1">
      <alignment horizontal="righ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2" fontId="3" fillId="0" borderId="0" xfId="2" applyNumberFormat="1" applyAlignment="1">
      <alignment horizontal="center" vertical="center" wrapText="1"/>
    </xf>
    <xf numFmtId="9" fontId="0" fillId="0" borderId="0" xfId="0" applyNumberFormat="1"/>
    <xf numFmtId="0" fontId="3" fillId="2" borderId="0" xfId="2" applyFill="1" applyAlignment="1">
      <alignment horizontal="right"/>
    </xf>
    <xf numFmtId="0" fontId="3" fillId="2" borderId="0" xfId="2" applyFill="1"/>
    <xf numFmtId="0" fontId="0" fillId="2" borderId="0" xfId="0" applyFill="1" applyAlignment="1">
      <alignment horizontal="right"/>
    </xf>
    <xf numFmtId="0" fontId="4" fillId="3" borderId="0" xfId="2" applyFont="1" applyFill="1" applyAlignment="1">
      <alignment horizontal="center" vertical="center" wrapText="1"/>
    </xf>
    <xf numFmtId="2" fontId="3" fillId="3" borderId="0" xfId="2" applyNumberFormat="1" applyFill="1" applyAlignment="1">
      <alignment horizontal="right"/>
    </xf>
    <xf numFmtId="0" fontId="0" fillId="3" borderId="0" xfId="0" applyFill="1" applyAlignment="1">
      <alignment horizontal="right"/>
    </xf>
    <xf numFmtId="0" fontId="2" fillId="2" borderId="0" xfId="0" applyFont="1" applyFill="1" applyAlignment="1">
      <alignment horizontal="right"/>
    </xf>
  </cellXfs>
  <cellStyles count="4">
    <cellStyle name="Comma" xfId="1" builtinId="3"/>
    <cellStyle name="Normal" xfId="0" builtinId="0"/>
    <cellStyle name="Обычный 2 4" xfId="2" xr:uid="{00000000-0005-0000-0000-000001000000}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375540668794668E-2"/>
          <c:y val="9.4511834522974514E-2"/>
          <c:w val="0.95758949662544512"/>
          <c:h val="0.88590745199604937"/>
        </c:manualLayout>
      </c:layout>
      <c:scatterChart>
        <c:scatterStyle val="lineMarker"/>
        <c:varyColors val="0"/>
        <c:ser>
          <c:idx val="0"/>
          <c:order val="0"/>
          <c:tx>
            <c:strRef>
              <c:f>Results!$E$1</c:f>
              <c:strCache>
                <c:ptCount val="1"/>
                <c:pt idx="0">
                  <c:v>DER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-0.5032155273618486"/>
                  <c:y val="-0.5684125065920375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Results!$D$2:$D$161</c:f>
              <c:numCache>
                <c:formatCode>General</c:formatCode>
                <c:ptCount val="160"/>
                <c:pt idx="0">
                  <c:v>-8.4689621143012913E-4</c:v>
                </c:pt>
                <c:pt idx="1">
                  <c:v>1.8445536525597133</c:v>
                </c:pt>
                <c:pt idx="2">
                  <c:v>0.31518614578812987</c:v>
                </c:pt>
                <c:pt idx="3">
                  <c:v>0.29002157035622783</c:v>
                </c:pt>
                <c:pt idx="4">
                  <c:v>-0.40412123047085596</c:v>
                </c:pt>
                <c:pt idx="5">
                  <c:v>-0.38069999038925934</c:v>
                </c:pt>
                <c:pt idx="6">
                  <c:v>0.18726811138279015</c:v>
                </c:pt>
                <c:pt idx="7">
                  <c:v>0.18589726588847638</c:v>
                </c:pt>
                <c:pt idx="8">
                  <c:v>-8.2530713290499644</c:v>
                </c:pt>
                <c:pt idx="9">
                  <c:v>-2.2226214558831336</c:v>
                </c:pt>
                <c:pt idx="10">
                  <c:v>2.2446229200069018E-2</c:v>
                </c:pt>
                <c:pt idx="11">
                  <c:v>0.52707085854411617</c:v>
                </c:pt>
                <c:pt idx="12">
                  <c:v>-0.13033509982178643</c:v>
                </c:pt>
                <c:pt idx="13">
                  <c:v>-7.994265682609572E-2</c:v>
                </c:pt>
                <c:pt idx="14">
                  <c:v>0.1409630992761898</c:v>
                </c:pt>
                <c:pt idx="15">
                  <c:v>0.23400894851527956</c:v>
                </c:pt>
                <c:pt idx="16">
                  <c:v>-0.29107924998083012</c:v>
                </c:pt>
                <c:pt idx="17">
                  <c:v>2.6707178411985704E-3</c:v>
                </c:pt>
                <c:pt idx="18">
                  <c:v>-0.67397215947448863</c:v>
                </c:pt>
                <c:pt idx="19">
                  <c:v>9.1336687034083444E-2</c:v>
                </c:pt>
                <c:pt idx="20">
                  <c:v>7.797435863046571E-3</c:v>
                </c:pt>
                <c:pt idx="21">
                  <c:v>0.15183381399611415</c:v>
                </c:pt>
                <c:pt idx="22">
                  <c:v>0.21461607983790285</c:v>
                </c:pt>
                <c:pt idx="23">
                  <c:v>0.244155095283242</c:v>
                </c:pt>
                <c:pt idx="24">
                  <c:v>0.14397737622055723</c:v>
                </c:pt>
                <c:pt idx="25">
                  <c:v>0.44871701432133659</c:v>
                </c:pt>
                <c:pt idx="26">
                  <c:v>0.56553952378909511</c:v>
                </c:pt>
                <c:pt idx="27">
                  <c:v>7.9493670087267529E-2</c:v>
                </c:pt>
                <c:pt idx="28">
                  <c:v>3.8237839487738789E-2</c:v>
                </c:pt>
                <c:pt idx="29">
                  <c:v>4.2251898953829331E-2</c:v>
                </c:pt>
                <c:pt idx="30">
                  <c:v>0.15506082259378501</c:v>
                </c:pt>
                <c:pt idx="31">
                  <c:v>0.57534269336213339</c:v>
                </c:pt>
                <c:pt idx="32">
                  <c:v>-6.7021097168848076E-2</c:v>
                </c:pt>
                <c:pt idx="33">
                  <c:v>1.487665056827971E-2</c:v>
                </c:pt>
                <c:pt idx="34">
                  <c:v>-0.3387696303075759</c:v>
                </c:pt>
                <c:pt idx="35">
                  <c:v>0.13792101309028401</c:v>
                </c:pt>
                <c:pt idx="36">
                  <c:v>0.11014617625447126</c:v>
                </c:pt>
                <c:pt idx="37">
                  <c:v>0.19623857105355758</c:v>
                </c:pt>
                <c:pt idx="38">
                  <c:v>0.115296303513947</c:v>
                </c:pt>
                <c:pt idx="39">
                  <c:v>0.21459452570877854</c:v>
                </c:pt>
                <c:pt idx="40">
                  <c:v>0.11778646512997058</c:v>
                </c:pt>
                <c:pt idx="41">
                  <c:v>0.11969134396566908</c:v>
                </c:pt>
                <c:pt idx="42">
                  <c:v>4.1790704597314973E-4</c:v>
                </c:pt>
                <c:pt idx="43">
                  <c:v>3.0242527081268929E-3</c:v>
                </c:pt>
                <c:pt idx="44">
                  <c:v>1.7684495686675836E-2</c:v>
                </c:pt>
                <c:pt idx="45">
                  <c:v>4.9910622819891899E-3</c:v>
                </c:pt>
                <c:pt idx="46">
                  <c:v>8.7918140233991152E-2</c:v>
                </c:pt>
                <c:pt idx="47">
                  <c:v>0.19134504609151326</c:v>
                </c:pt>
                <c:pt idx="48">
                  <c:v>-0.17064108494311461</c:v>
                </c:pt>
                <c:pt idx="49">
                  <c:v>-7.6577347664530546E-2</c:v>
                </c:pt>
                <c:pt idx="50">
                  <c:v>-0.13290931914639251</c:v>
                </c:pt>
                <c:pt idx="51">
                  <c:v>3.4705700687977639E-2</c:v>
                </c:pt>
                <c:pt idx="52">
                  <c:v>-3.552178770949721E-2</c:v>
                </c:pt>
                <c:pt idx="53">
                  <c:v>-3.1420566917475995E-2</c:v>
                </c:pt>
                <c:pt idx="54">
                  <c:v>-0.15191675471826671</c:v>
                </c:pt>
                <c:pt idx="55">
                  <c:v>-2.9349175438873505E-3</c:v>
                </c:pt>
                <c:pt idx="56">
                  <c:v>0.24278361646795887</c:v>
                </c:pt>
                <c:pt idx="57">
                  <c:v>0.24972226927337804</c:v>
                </c:pt>
                <c:pt idx="58">
                  <c:v>9.7928571059182803E-2</c:v>
                </c:pt>
                <c:pt idx="59">
                  <c:v>0.37920523646371818</c:v>
                </c:pt>
                <c:pt idx="60">
                  <c:v>2.5151011428163672E-2</c:v>
                </c:pt>
                <c:pt idx="61">
                  <c:v>8.9882957396094448E-2</c:v>
                </c:pt>
                <c:pt idx="62">
                  <c:v>0.64243112804168256</c:v>
                </c:pt>
                <c:pt idx="63">
                  <c:v>0.46083738256969659</c:v>
                </c:pt>
                <c:pt idx="64">
                  <c:v>1.7342702904824645E-3</c:v>
                </c:pt>
                <c:pt idx="65">
                  <c:v>-0.1185101667748136</c:v>
                </c:pt>
                <c:pt idx="66">
                  <c:v>-6.3975856181914814E-2</c:v>
                </c:pt>
                <c:pt idx="67">
                  <c:v>-2.355500823720973E-2</c:v>
                </c:pt>
                <c:pt idx="68">
                  <c:v>-1.2685587272530041</c:v>
                </c:pt>
                <c:pt idx="69">
                  <c:v>-0.51239258828650658</c:v>
                </c:pt>
                <c:pt idx="70">
                  <c:v>4.1231405372452118E-3</c:v>
                </c:pt>
                <c:pt idx="71">
                  <c:v>0.30004732100675519</c:v>
                </c:pt>
                <c:pt idx="72">
                  <c:v>1.8385420302118875E-3</c:v>
                </c:pt>
                <c:pt idx="73">
                  <c:v>4.4978115713667065E-3</c:v>
                </c:pt>
                <c:pt idx="74">
                  <c:v>7.0637599575577359E-2</c:v>
                </c:pt>
                <c:pt idx="75">
                  <c:v>2.208411479231033E-2</c:v>
                </c:pt>
                <c:pt idx="76">
                  <c:v>-0.31739069516627466</c:v>
                </c:pt>
                <c:pt idx="77">
                  <c:v>-0.25959094560393736</c:v>
                </c:pt>
                <c:pt idx="78">
                  <c:v>0.5600995709435439</c:v>
                </c:pt>
                <c:pt idx="79">
                  <c:v>-0.11420491503428784</c:v>
                </c:pt>
                <c:pt idx="80">
                  <c:v>0.21407510648146949</c:v>
                </c:pt>
                <c:pt idx="81">
                  <c:v>-0.98887882900527357</c:v>
                </c:pt>
                <c:pt idx="82">
                  <c:v>-0.11246069132845979</c:v>
                </c:pt>
                <c:pt idx="83">
                  <c:v>6.9983326238662547E-2</c:v>
                </c:pt>
                <c:pt idx="84">
                  <c:v>2.8542298804684015E-3</c:v>
                </c:pt>
                <c:pt idx="85">
                  <c:v>1.8734316742829479E-2</c:v>
                </c:pt>
                <c:pt idx="86">
                  <c:v>0.38578133039661922</c:v>
                </c:pt>
                <c:pt idx="87">
                  <c:v>0.20344027216728403</c:v>
                </c:pt>
                <c:pt idx="88">
                  <c:v>0.14397737622055723</c:v>
                </c:pt>
                <c:pt idx="89">
                  <c:v>0.44871701432133659</c:v>
                </c:pt>
                <c:pt idx="90">
                  <c:v>0.56553952378909511</c:v>
                </c:pt>
                <c:pt idx="91">
                  <c:v>7.9493670087267529E-2</c:v>
                </c:pt>
                <c:pt idx="92">
                  <c:v>-0.2349287369469453</c:v>
                </c:pt>
                <c:pt idx="93">
                  <c:v>9.6586070065956566E-4</c:v>
                </c:pt>
                <c:pt idx="94">
                  <c:v>0.24993438735594892</c:v>
                </c:pt>
                <c:pt idx="95">
                  <c:v>0.18463709483737714</c:v>
                </c:pt>
                <c:pt idx="96">
                  <c:v>5.6627865243783264E-2</c:v>
                </c:pt>
                <c:pt idx="97">
                  <c:v>0.14915202061968627</c:v>
                </c:pt>
                <c:pt idx="98">
                  <c:v>6.226751748803231E-2</c:v>
                </c:pt>
                <c:pt idx="99">
                  <c:v>0.23687924274572342</c:v>
                </c:pt>
                <c:pt idx="100">
                  <c:v>0.25680203178200328</c:v>
                </c:pt>
                <c:pt idx="101">
                  <c:v>0.42191768717578876</c:v>
                </c:pt>
                <c:pt idx="102">
                  <c:v>0.53147296411305289</c:v>
                </c:pt>
                <c:pt idx="103">
                  <c:v>0.6166594188130744</c:v>
                </c:pt>
                <c:pt idx="104">
                  <c:v>-7.9043596692151705E-2</c:v>
                </c:pt>
                <c:pt idx="105">
                  <c:v>6.2990708566207304E-3</c:v>
                </c:pt>
                <c:pt idx="106">
                  <c:v>7.1836783329961105E-3</c:v>
                </c:pt>
                <c:pt idx="107">
                  <c:v>0.14004087655291245</c:v>
                </c:pt>
                <c:pt idx="108">
                  <c:v>3.8882388936802644E-3</c:v>
                </c:pt>
                <c:pt idx="109">
                  <c:v>2.8256825482327924E-3</c:v>
                </c:pt>
                <c:pt idx="110">
                  <c:v>7.4276667367834271E-3</c:v>
                </c:pt>
                <c:pt idx="111">
                  <c:v>7.2779859211543436E-3</c:v>
                </c:pt>
                <c:pt idx="112">
                  <c:v>6.5159073154089725E-2</c:v>
                </c:pt>
                <c:pt idx="113">
                  <c:v>6.3965842560567199E-2</c:v>
                </c:pt>
                <c:pt idx="114">
                  <c:v>5.3757456312051033E-2</c:v>
                </c:pt>
                <c:pt idx="115">
                  <c:v>1.9103522096003023E-2</c:v>
                </c:pt>
                <c:pt idx="116">
                  <c:v>8.6086237788604875E-3</c:v>
                </c:pt>
                <c:pt idx="117">
                  <c:v>0.25177438098558513</c:v>
                </c:pt>
                <c:pt idx="118">
                  <c:v>0.49336917008528763</c:v>
                </c:pt>
                <c:pt idx="119">
                  <c:v>0.10321489430505307</c:v>
                </c:pt>
                <c:pt idx="120">
                  <c:v>1.1707444060948992E-2</c:v>
                </c:pt>
                <c:pt idx="121">
                  <c:v>-2.3860004462070091E-2</c:v>
                </c:pt>
                <c:pt idx="122">
                  <c:v>2.7337439656882661E-4</c:v>
                </c:pt>
                <c:pt idx="123">
                  <c:v>0.14160039404158486</c:v>
                </c:pt>
                <c:pt idx="124">
                  <c:v>9.4033405912250359E-2</c:v>
                </c:pt>
                <c:pt idx="125">
                  <c:v>0.30402134559033595</c:v>
                </c:pt>
                <c:pt idx="126">
                  <c:v>0.6959583741335944</c:v>
                </c:pt>
                <c:pt idx="127">
                  <c:v>0.80346586162988443</c:v>
                </c:pt>
                <c:pt idx="128">
                  <c:v>0.1129249740664917</c:v>
                </c:pt>
                <c:pt idx="129">
                  <c:v>6.3655908438238873E-2</c:v>
                </c:pt>
                <c:pt idx="130">
                  <c:v>0.17647036740554634</c:v>
                </c:pt>
                <c:pt idx="131">
                  <c:v>0.2258450779941705</c:v>
                </c:pt>
                <c:pt idx="132">
                  <c:v>-4.7605932381792462E-2</c:v>
                </c:pt>
                <c:pt idx="133">
                  <c:v>8.6507574874335746E-3</c:v>
                </c:pt>
                <c:pt idx="134">
                  <c:v>-0.17994121635592292</c:v>
                </c:pt>
                <c:pt idx="135">
                  <c:v>-4.7565806397835289E-3</c:v>
                </c:pt>
                <c:pt idx="136">
                  <c:v>4.5266503787639446E-2</c:v>
                </c:pt>
                <c:pt idx="137">
                  <c:v>0.17656594067142137</c:v>
                </c:pt>
                <c:pt idx="138">
                  <c:v>0.48008574002560711</c:v>
                </c:pt>
                <c:pt idx="139">
                  <c:v>7.4396586237924792E-2</c:v>
                </c:pt>
                <c:pt idx="140">
                  <c:v>2.4298603848864064E-2</c:v>
                </c:pt>
                <c:pt idx="141">
                  <c:v>6.7143361331748919E-2</c:v>
                </c:pt>
                <c:pt idx="142">
                  <c:v>6.4193511581348547E-2</c:v>
                </c:pt>
                <c:pt idx="143">
                  <c:v>9.5466739403230025E-4</c:v>
                </c:pt>
                <c:pt idx="144">
                  <c:v>1.5440294613807944E-2</c:v>
                </c:pt>
                <c:pt idx="145">
                  <c:v>4.1279955797684502E-2</c:v>
                </c:pt>
                <c:pt idx="146">
                  <c:v>0.21890102336602255</c:v>
                </c:pt>
                <c:pt idx="147">
                  <c:v>0.216819567578004</c:v>
                </c:pt>
                <c:pt idx="148">
                  <c:v>0.91473018251266258</c:v>
                </c:pt>
                <c:pt idx="149">
                  <c:v>-7.670848246126365</c:v>
                </c:pt>
                <c:pt idx="150">
                  <c:v>-4.4417279939833229E-2</c:v>
                </c:pt>
                <c:pt idx="151">
                  <c:v>4.0124732510503379E-2</c:v>
                </c:pt>
                <c:pt idx="152">
                  <c:v>0.18803362897251938</c:v>
                </c:pt>
                <c:pt idx="153">
                  <c:v>3.2644038078643618</c:v>
                </c:pt>
                <c:pt idx="154">
                  <c:v>-1.4660695437550515</c:v>
                </c:pt>
                <c:pt idx="155">
                  <c:v>-0.17246387306450026</c:v>
                </c:pt>
                <c:pt idx="156">
                  <c:v>1.4629071756304651E-2</c:v>
                </c:pt>
                <c:pt idx="157">
                  <c:v>9.0040105188851222E-3</c:v>
                </c:pt>
                <c:pt idx="158">
                  <c:v>-0.24301214521261116</c:v>
                </c:pt>
                <c:pt idx="159">
                  <c:v>0.13352692285827319</c:v>
                </c:pt>
              </c:numCache>
            </c:numRef>
          </c:xVal>
          <c:yVal>
            <c:numRef>
              <c:f>Results!$E$2:$E$161</c:f>
              <c:numCache>
                <c:formatCode>General</c:formatCode>
                <c:ptCount val="160"/>
                <c:pt idx="0">
                  <c:v>-10.548780216650702</c:v>
                </c:pt>
                <c:pt idx="1">
                  <c:v>-10.70920643666312</c:v>
                </c:pt>
                <c:pt idx="2">
                  <c:v>6.8738984145566109</c:v>
                </c:pt>
                <c:pt idx="3">
                  <c:v>6.1357400436860505</c:v>
                </c:pt>
                <c:pt idx="4">
                  <c:v>1.1396686820331519</c:v>
                </c:pt>
                <c:pt idx="5">
                  <c:v>2.5518391997375498</c:v>
                </c:pt>
                <c:pt idx="6">
                  <c:v>1.7013342981433466</c:v>
                </c:pt>
                <c:pt idx="7">
                  <c:v>1.3127136472463032</c:v>
                </c:pt>
                <c:pt idx="8">
                  <c:v>63.157920224795149</c:v>
                </c:pt>
                <c:pt idx="9">
                  <c:v>8.7042353952668705</c:v>
                </c:pt>
                <c:pt idx="10">
                  <c:v>2.5434074465222491</c:v>
                </c:pt>
                <c:pt idx="11">
                  <c:v>1.2544408371620011</c:v>
                </c:pt>
                <c:pt idx="12">
                  <c:v>0.18340202993672583</c:v>
                </c:pt>
                <c:pt idx="13">
                  <c:v>0.20265490279638645</c:v>
                </c:pt>
                <c:pt idx="14">
                  <c:v>0.25719177756281575</c:v>
                </c:pt>
                <c:pt idx="15">
                  <c:v>6.8693646737563549E-2</c:v>
                </c:pt>
                <c:pt idx="16">
                  <c:v>1.7518337084232689</c:v>
                </c:pt>
                <c:pt idx="17">
                  <c:v>1.1580473018887505</c:v>
                </c:pt>
                <c:pt idx="18">
                  <c:v>0.99012395211687898</c:v>
                </c:pt>
                <c:pt idx="19">
                  <c:v>1.1407643576900299</c:v>
                </c:pt>
                <c:pt idx="20">
                  <c:v>6.565231909580832E-2</c:v>
                </c:pt>
                <c:pt idx="21">
                  <c:v>1.5472808009839469E-2</c:v>
                </c:pt>
                <c:pt idx="22">
                  <c:v>0.4387584110633817</c:v>
                </c:pt>
                <c:pt idx="23">
                  <c:v>0.60278080440740167</c:v>
                </c:pt>
                <c:pt idx="24">
                  <c:v>2.1177541083079957E-3</c:v>
                </c:pt>
                <c:pt idx="25">
                  <c:v>0</c:v>
                </c:pt>
                <c:pt idx="26">
                  <c:v>0</c:v>
                </c:pt>
                <c:pt idx="27">
                  <c:v>6.8154334860232339E-4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0.34031615370679363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6.8530392153205943E-2</c:v>
                </c:pt>
                <c:pt idx="37">
                  <c:v>0</c:v>
                </c:pt>
                <c:pt idx="38">
                  <c:v>0</c:v>
                </c:pt>
                <c:pt idx="39">
                  <c:v>1.5929844962783899E-3</c:v>
                </c:pt>
                <c:pt idx="40">
                  <c:v>7.44482663081137E-2</c:v>
                </c:pt>
                <c:pt idx="41">
                  <c:v>7.8567891275003326E-2</c:v>
                </c:pt>
                <c:pt idx="42">
                  <c:v>1.6854059097812703E-2</c:v>
                </c:pt>
                <c:pt idx="43">
                  <c:v>2.8666371751227732E-2</c:v>
                </c:pt>
                <c:pt idx="44">
                  <c:v>7.4687569145355879E-3</c:v>
                </c:pt>
                <c:pt idx="45">
                  <c:v>0.21063668139981367</c:v>
                </c:pt>
                <c:pt idx="46">
                  <c:v>0.27070477631464573</c:v>
                </c:pt>
                <c:pt idx="47">
                  <c:v>9.5958167612335096E-2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-20.082236782122905</c:v>
                </c:pt>
                <c:pt idx="53">
                  <c:v>-18.952264396676501</c:v>
                </c:pt>
                <c:pt idx="54">
                  <c:v>-12.448401160164785</c:v>
                </c:pt>
                <c:pt idx="55">
                  <c:v>-6.5953865190866576</c:v>
                </c:pt>
                <c:pt idx="56">
                  <c:v>1.5139312387802841</c:v>
                </c:pt>
                <c:pt idx="57">
                  <c:v>0.23112713686369113</c:v>
                </c:pt>
                <c:pt idx="58">
                  <c:v>0.67129104685141838</c:v>
                </c:pt>
                <c:pt idx="59">
                  <c:v>0</c:v>
                </c:pt>
                <c:pt idx="60">
                  <c:v>4.053530097165492</c:v>
                </c:pt>
                <c:pt idx="61">
                  <c:v>3.9328546245536149</c:v>
                </c:pt>
                <c:pt idx="62">
                  <c:v>3.5189391514663235</c:v>
                </c:pt>
                <c:pt idx="63">
                  <c:v>3.9861329266220089</c:v>
                </c:pt>
                <c:pt idx="64">
                  <c:v>0.24427229579349649</c:v>
                </c:pt>
                <c:pt idx="65">
                  <c:v>0.22213834598587315</c:v>
                </c:pt>
                <c:pt idx="66">
                  <c:v>0.26980286424573446</c:v>
                </c:pt>
                <c:pt idx="67">
                  <c:v>0.35771617529747229</c:v>
                </c:pt>
                <c:pt idx="68">
                  <c:v>5.2856279840873128</c:v>
                </c:pt>
                <c:pt idx="69">
                  <c:v>2.0574147462852928</c:v>
                </c:pt>
                <c:pt idx="70">
                  <c:v>1.178040153498632</c:v>
                </c:pt>
                <c:pt idx="71">
                  <c:v>0.61333631777753961</c:v>
                </c:pt>
                <c:pt idx="72">
                  <c:v>1.487539405699007</c:v>
                </c:pt>
                <c:pt idx="73">
                  <c:v>1.5956906496169154</c:v>
                </c:pt>
                <c:pt idx="74">
                  <c:v>1.6029004801419515</c:v>
                </c:pt>
                <c:pt idx="75">
                  <c:v>1.7245877235561069</c:v>
                </c:pt>
                <c:pt idx="76">
                  <c:v>0.18029925090654381</c:v>
                </c:pt>
                <c:pt idx="77">
                  <c:v>0.13273072223047638</c:v>
                </c:pt>
                <c:pt idx="78">
                  <c:v>0</c:v>
                </c:pt>
                <c:pt idx="79">
                  <c:v>0.19072863827267308</c:v>
                </c:pt>
                <c:pt idx="80">
                  <c:v>0.25597002603660712</c:v>
                </c:pt>
                <c:pt idx="81">
                  <c:v>1.0898370185686777</c:v>
                </c:pt>
                <c:pt idx="82">
                  <c:v>0.9689500357112848</c:v>
                </c:pt>
                <c:pt idx="83">
                  <c:v>0.42662521552726979</c:v>
                </c:pt>
                <c:pt idx="84">
                  <c:v>0</c:v>
                </c:pt>
                <c:pt idx="85">
                  <c:v>0</c:v>
                </c:pt>
                <c:pt idx="86">
                  <c:v>0.17634911793592029</c:v>
                </c:pt>
                <c:pt idx="87">
                  <c:v>3.1436509458253672E-2</c:v>
                </c:pt>
                <c:pt idx="88">
                  <c:v>2.1177541083079957E-3</c:v>
                </c:pt>
                <c:pt idx="89">
                  <c:v>0</c:v>
                </c:pt>
                <c:pt idx="90">
                  <c:v>0</c:v>
                </c:pt>
                <c:pt idx="91">
                  <c:v>6.8154334860232339E-4</c:v>
                </c:pt>
                <c:pt idx="92">
                  <c:v>0.12593020325559295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1.0753947954736196</c:v>
                </c:pt>
                <c:pt idx="101">
                  <c:v>2.2975346700428751</c:v>
                </c:pt>
                <c:pt idx="102">
                  <c:v>3.9658744642819959</c:v>
                </c:pt>
                <c:pt idx="103">
                  <c:v>5.0947977527909583</c:v>
                </c:pt>
                <c:pt idx="104">
                  <c:v>0.15023136860848335</c:v>
                </c:pt>
                <c:pt idx="105">
                  <c:v>8.1480322990119924E-2</c:v>
                </c:pt>
                <c:pt idx="106">
                  <c:v>0.16566901843277615</c:v>
                </c:pt>
                <c:pt idx="107">
                  <c:v>0.14923533410081008</c:v>
                </c:pt>
                <c:pt idx="108">
                  <c:v>7.6342873486311734E-3</c:v>
                </c:pt>
                <c:pt idx="109">
                  <c:v>2.5345367992724202E-2</c:v>
                </c:pt>
                <c:pt idx="110">
                  <c:v>0.12154417618009813</c:v>
                </c:pt>
                <c:pt idx="111">
                  <c:v>0.45909613255983683</c:v>
                </c:pt>
                <c:pt idx="112">
                  <c:v>0</c:v>
                </c:pt>
                <c:pt idx="113">
                  <c:v>0</c:v>
                </c:pt>
                <c:pt idx="114">
                  <c:v>8.4987552594741042E-2</c:v>
                </c:pt>
                <c:pt idx="115">
                  <c:v>0.18457683667661656</c:v>
                </c:pt>
                <c:pt idx="116">
                  <c:v>2.7245797151919482</c:v>
                </c:pt>
                <c:pt idx="117">
                  <c:v>3.4997109996026983</c:v>
                </c:pt>
                <c:pt idx="118">
                  <c:v>7.5424621764378003E-2</c:v>
                </c:pt>
                <c:pt idx="119">
                  <c:v>4.2012081449936183</c:v>
                </c:pt>
                <c:pt idx="120">
                  <c:v>4.0402206237346819E-2</c:v>
                </c:pt>
                <c:pt idx="121">
                  <c:v>0.30950638869324582</c:v>
                </c:pt>
                <c:pt idx="122">
                  <c:v>0.38859767003926832</c:v>
                </c:pt>
                <c:pt idx="123">
                  <c:v>0.36599946713121223</c:v>
                </c:pt>
                <c:pt idx="124">
                  <c:v>4.4469034010906245</c:v>
                </c:pt>
                <c:pt idx="125">
                  <c:v>6.2641574908169888</c:v>
                </c:pt>
                <c:pt idx="126">
                  <c:v>8.7712617215295641</c:v>
                </c:pt>
                <c:pt idx="127">
                  <c:v>17.754467047360844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2.7000672519546653</c:v>
                </c:pt>
                <c:pt idx="137">
                  <c:v>3.9470540567689643</c:v>
                </c:pt>
                <c:pt idx="138">
                  <c:v>3.547641826625227</c:v>
                </c:pt>
                <c:pt idx="139">
                  <c:v>4.9645664947629484</c:v>
                </c:pt>
                <c:pt idx="140">
                  <c:v>0.41540060807980222</c:v>
                </c:pt>
                <c:pt idx="141">
                  <c:v>0.65095796459571542</c:v>
                </c:pt>
                <c:pt idx="142">
                  <c:v>1.1642479573393816</c:v>
                </c:pt>
                <c:pt idx="143">
                  <c:v>0.96561538604709685</c:v>
                </c:pt>
                <c:pt idx="144">
                  <c:v>1.531524000923042</c:v>
                </c:pt>
                <c:pt idx="145">
                  <c:v>2.1638375825863125</c:v>
                </c:pt>
                <c:pt idx="146">
                  <c:v>1.2995537035798819</c:v>
                </c:pt>
                <c:pt idx="147">
                  <c:v>0.13150237209340476</c:v>
                </c:pt>
                <c:pt idx="148">
                  <c:v>6.5280084742913624</c:v>
                </c:pt>
                <c:pt idx="149">
                  <c:v>98.997632099127671</c:v>
                </c:pt>
                <c:pt idx="150">
                  <c:v>1.6965015998704271</c:v>
                </c:pt>
                <c:pt idx="151">
                  <c:v>0</c:v>
                </c:pt>
                <c:pt idx="152">
                  <c:v>17.271824005911576</c:v>
                </c:pt>
                <c:pt idx="153">
                  <c:v>23.465240109875904</c:v>
                </c:pt>
                <c:pt idx="154">
                  <c:v>-11.607185368860518</c:v>
                </c:pt>
                <c:pt idx="155">
                  <c:v>-2.5555299941190333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5C-4935-9544-C04A80FAB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7873632"/>
        <c:axId val="1067852832"/>
      </c:scatterChart>
      <c:valAx>
        <c:axId val="106787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852832"/>
        <c:crosses val="autoZero"/>
        <c:crossBetween val="midCat"/>
      </c:valAx>
      <c:valAx>
        <c:axId val="106785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873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Qarz bahosi</a:t>
            </a:r>
            <a:r>
              <a:rPr lang="en-US" baseline="0"/>
              <a:t> hamda qarz yuklamasi o`rtasidagi bog`liqlik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Лист1!$C$1</c:f>
              <c:strCache>
                <c:ptCount val="1"/>
                <c:pt idx="0">
                  <c:v>Debt burden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5.8733106171274821E-2"/>
                  <c:y val="-3.7329358664183458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0.14x</a:t>
                    </a:r>
                    <a:r>
                      <a:rPr lang="en-US" baseline="30000"/>
                      <a:t>2</a:t>
                    </a:r>
                    <a:r>
                      <a:rPr lang="en-US" baseline="0"/>
                      <a:t> - 0.0105x + 17.89</a:t>
                    </a:r>
                    <a:br>
                      <a:rPr lang="en-US" baseline="0"/>
                    </a:br>
                    <a:r>
                      <a:rPr lang="en-US" baseline="0"/>
                      <a:t>R² = 0.9266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Лист1!$B$2:$B$6</c:f>
              <c:numCache>
                <c:formatCode>General</c:formatCode>
                <c:ptCount val="5"/>
                <c:pt idx="0">
                  <c:v>10.32</c:v>
                </c:pt>
                <c:pt idx="1">
                  <c:v>18.600000000000001</c:v>
                </c:pt>
                <c:pt idx="2">
                  <c:v>4.62</c:v>
                </c:pt>
                <c:pt idx="3">
                  <c:v>2.19</c:v>
                </c:pt>
              </c:numCache>
            </c:numRef>
          </c:xVal>
          <c:yVal>
            <c:numRef>
              <c:f>Лист1!$C$2:$C$6</c:f>
              <c:numCache>
                <c:formatCode>General</c:formatCode>
                <c:ptCount val="5"/>
                <c:pt idx="0">
                  <c:v>0.48</c:v>
                </c:pt>
                <c:pt idx="1">
                  <c:v>0.69</c:v>
                </c:pt>
                <c:pt idx="2">
                  <c:v>0.34</c:v>
                </c:pt>
                <c:pt idx="3">
                  <c:v>0.43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A8-498E-AB39-DF8DA5AEF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863535"/>
        <c:axId val="2034993504"/>
      </c:scatterChart>
      <c:valAx>
        <c:axId val="276863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Qarz bahosi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993504"/>
        <c:crosses val="autoZero"/>
        <c:crossBetween val="midCat"/>
      </c:valAx>
      <c:valAx>
        <c:axId val="203499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Qarz</a:t>
                </a:r>
                <a:r>
                  <a:rPr lang="en-US" baseline="0"/>
                  <a:t> yuklamasi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863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12</xdr:row>
      <xdr:rowOff>7620</xdr:rowOff>
    </xdr:from>
    <xdr:to>
      <xdr:col>1</xdr:col>
      <xdr:colOff>2918460</xdr:colOff>
      <xdr:row>38</xdr:row>
      <xdr:rowOff>1807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86CEFAC-4800-46BD-82EC-42954A0EEE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305794</xdr:colOff>
      <xdr:row>6</xdr:row>
      <xdr:rowOff>144945</xdr:rowOff>
    </xdr:from>
    <xdr:to>
      <xdr:col>8</xdr:col>
      <xdr:colOff>588728</xdr:colOff>
      <xdr:row>21</xdr:row>
      <xdr:rowOff>144946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E3EF197-A821-CE9B-3843-E17BAEB02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F169"/>
  <sheetViews>
    <sheetView topLeftCell="AJ115" zoomScaleNormal="100" workbookViewId="0">
      <selection activeCell="AV1" sqref="AV1"/>
    </sheetView>
  </sheetViews>
  <sheetFormatPr defaultColWidth="9.140625" defaultRowHeight="15" x14ac:dyDescent="0.25"/>
  <cols>
    <col min="1" max="2" width="9.28515625" style="9" bestFit="1" customWidth="1"/>
    <col min="3" max="3" width="15.85546875" style="9" customWidth="1"/>
    <col min="4" max="4" width="48.28515625" style="9" customWidth="1"/>
    <col min="5" max="10" width="9.28515625" style="9" bestFit="1" customWidth="1"/>
    <col min="11" max="11" width="9.140625" style="9"/>
    <col min="12" max="16" width="9.28515625" style="9" bestFit="1" customWidth="1"/>
    <col min="17" max="17" width="10" style="9" bestFit="1" customWidth="1"/>
    <col min="18" max="20" width="9.28515625" style="9" bestFit="1" customWidth="1"/>
    <col min="21" max="21" width="18.85546875" style="9" customWidth="1"/>
    <col min="22" max="47" width="9.140625" style="9"/>
    <col min="48" max="48" width="9.140625" style="22"/>
    <col min="49" max="87" width="9.140625" style="9"/>
    <col min="88" max="89" width="10" style="9" bestFit="1" customWidth="1"/>
    <col min="90" max="101" width="9.140625" style="9"/>
    <col min="102" max="102" width="9.140625" style="22"/>
    <col min="103" max="103" width="9.140625" style="9"/>
    <col min="104" max="104" width="13.85546875" style="9" customWidth="1"/>
    <col min="105" max="105" width="15.28515625" style="9" customWidth="1"/>
    <col min="106" max="115" width="9.140625" style="9"/>
    <col min="116" max="117" width="9.140625" style="25"/>
    <col min="118" max="119" width="9.140625" style="9"/>
    <col min="120" max="120" width="9.140625" style="22"/>
    <col min="121" max="121" width="9.140625" style="9"/>
    <col min="122" max="122" width="9.140625" style="22"/>
    <col min="123" max="145" width="9.140625" style="9"/>
    <col min="146" max="146" width="9.140625" style="22"/>
    <col min="147" max="185" width="9.140625" style="9"/>
    <col min="186" max="187" width="10" style="9" bestFit="1" customWidth="1"/>
    <col min="188" max="16384" width="9.140625" style="9"/>
  </cols>
  <sheetData>
    <row r="1" spans="1:187" s="10" customFormat="1" ht="24" x14ac:dyDescent="0.25">
      <c r="A1" s="10" t="s">
        <v>1</v>
      </c>
      <c r="B1" s="10" t="s">
        <v>2</v>
      </c>
      <c r="C1" s="12" t="s">
        <v>3</v>
      </c>
      <c r="D1" s="13" t="s">
        <v>4</v>
      </c>
      <c r="E1" s="10" t="s">
        <v>5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12</v>
      </c>
      <c r="M1" s="10" t="s">
        <v>13</v>
      </c>
      <c r="O1" s="10" t="s">
        <v>14</v>
      </c>
      <c r="P1" s="10" t="s">
        <v>15</v>
      </c>
      <c r="Q1" s="10" t="s">
        <v>15</v>
      </c>
      <c r="R1" s="10" t="s">
        <v>16</v>
      </c>
      <c r="S1" s="10" t="s">
        <v>16</v>
      </c>
      <c r="T1" s="10" t="s">
        <v>17</v>
      </c>
      <c r="U1" s="10" t="s">
        <v>17</v>
      </c>
      <c r="V1" s="10" t="s">
        <v>18</v>
      </c>
      <c r="W1" s="10" t="s">
        <v>18</v>
      </c>
      <c r="X1" s="10" t="s">
        <v>19</v>
      </c>
      <c r="Y1" s="10" t="s">
        <v>19</v>
      </c>
      <c r="Z1" s="10" t="s">
        <v>20</v>
      </c>
      <c r="AA1" s="10" t="s">
        <v>20</v>
      </c>
      <c r="AB1" s="10" t="s">
        <v>21</v>
      </c>
      <c r="AC1" s="10" t="s">
        <v>21</v>
      </c>
      <c r="AD1" s="10" t="s">
        <v>22</v>
      </c>
      <c r="AE1" s="10" t="s">
        <v>22</v>
      </c>
      <c r="AF1" s="10" t="s">
        <v>23</v>
      </c>
      <c r="AG1" s="10" t="s">
        <v>23</v>
      </c>
      <c r="AH1" s="10" t="s">
        <v>24</v>
      </c>
      <c r="AI1" s="10" t="s">
        <v>24</v>
      </c>
      <c r="AJ1" s="10" t="s">
        <v>25</v>
      </c>
      <c r="AK1" s="10" t="s">
        <v>25</v>
      </c>
      <c r="AL1" s="10" t="s">
        <v>26</v>
      </c>
      <c r="AM1" s="10" t="s">
        <v>26</v>
      </c>
      <c r="AN1" s="10" t="s">
        <v>27</v>
      </c>
      <c r="AO1" s="10" t="s">
        <v>27</v>
      </c>
      <c r="AP1" s="10" t="s">
        <v>28</v>
      </c>
      <c r="AQ1" s="10" t="s">
        <v>28</v>
      </c>
      <c r="AR1" s="10" t="s">
        <v>29</v>
      </c>
      <c r="AS1" s="10" t="s">
        <v>29</v>
      </c>
      <c r="AT1" s="10" t="s">
        <v>30</v>
      </c>
      <c r="AU1" s="10" t="s">
        <v>30</v>
      </c>
      <c r="AV1" s="12" t="s">
        <v>31</v>
      </c>
      <c r="AW1" s="10" t="s">
        <v>31</v>
      </c>
      <c r="AX1" s="10" t="s">
        <v>32</v>
      </c>
      <c r="AY1" s="10" t="s">
        <v>32</v>
      </c>
      <c r="AZ1" s="10" t="s">
        <v>33</v>
      </c>
      <c r="BA1" s="10" t="s">
        <v>33</v>
      </c>
      <c r="BB1" s="10" t="s">
        <v>34</v>
      </c>
      <c r="BC1" s="10" t="s">
        <v>34</v>
      </c>
      <c r="BD1" s="10" t="s">
        <v>35</v>
      </c>
      <c r="BE1" s="10" t="s">
        <v>35</v>
      </c>
      <c r="BF1" s="10" t="s">
        <v>36</v>
      </c>
      <c r="BG1" s="10" t="s">
        <v>36</v>
      </c>
      <c r="BH1" s="10" t="s">
        <v>37</v>
      </c>
      <c r="BI1" s="10" t="s">
        <v>37</v>
      </c>
      <c r="BJ1" s="10" t="s">
        <v>38</v>
      </c>
      <c r="BK1" s="10" t="s">
        <v>38</v>
      </c>
      <c r="BL1" s="10" t="s">
        <v>39</v>
      </c>
      <c r="BM1" s="10" t="s">
        <v>39</v>
      </c>
      <c r="BN1" s="10" t="s">
        <v>40</v>
      </c>
      <c r="BO1" s="10" t="s">
        <v>40</v>
      </c>
      <c r="BP1" s="10" t="s">
        <v>41</v>
      </c>
      <c r="BQ1" s="10" t="s">
        <v>41</v>
      </c>
      <c r="BR1" s="10" t="s">
        <v>42</v>
      </c>
      <c r="BS1" s="10" t="s">
        <v>42</v>
      </c>
      <c r="BT1" s="10" t="s">
        <v>43</v>
      </c>
      <c r="BU1" s="10" t="s">
        <v>43</v>
      </c>
      <c r="BV1" s="10" t="s">
        <v>44</v>
      </c>
      <c r="BW1" s="10" t="s">
        <v>44</v>
      </c>
      <c r="BX1" s="10" t="s">
        <v>45</v>
      </c>
      <c r="BY1" s="10" t="s">
        <v>45</v>
      </c>
      <c r="BZ1" s="10" t="s">
        <v>46</v>
      </c>
      <c r="CA1" s="10" t="s">
        <v>46</v>
      </c>
      <c r="CB1" s="10" t="s">
        <v>47</v>
      </c>
      <c r="CC1" s="10" t="s">
        <v>47</v>
      </c>
      <c r="CD1" s="10" t="s">
        <v>48</v>
      </c>
      <c r="CE1" s="10" t="s">
        <v>48</v>
      </c>
      <c r="CF1" s="10" t="s">
        <v>49</v>
      </c>
      <c r="CG1" s="10" t="s">
        <v>49</v>
      </c>
      <c r="CH1" s="10" t="s">
        <v>50</v>
      </c>
      <c r="CI1" s="10" t="s">
        <v>50</v>
      </c>
      <c r="CJ1" s="10" t="s">
        <v>51</v>
      </c>
      <c r="CK1" s="10" t="s">
        <v>51</v>
      </c>
      <c r="CL1" s="10" t="s">
        <v>52</v>
      </c>
      <c r="CM1" s="10" t="s">
        <v>52</v>
      </c>
      <c r="CN1" s="10" t="s">
        <v>53</v>
      </c>
      <c r="CO1" s="10" t="s">
        <v>53</v>
      </c>
      <c r="CP1" s="10" t="s">
        <v>54</v>
      </c>
      <c r="CQ1" s="10" t="s">
        <v>54</v>
      </c>
      <c r="CR1" s="10" t="s">
        <v>55</v>
      </c>
      <c r="CS1" s="10" t="s">
        <v>55</v>
      </c>
      <c r="CT1" s="10" t="s">
        <v>56</v>
      </c>
      <c r="CU1" s="10" t="s">
        <v>56</v>
      </c>
      <c r="CV1" s="10" t="s">
        <v>57</v>
      </c>
      <c r="CW1" s="10" t="s">
        <v>57</v>
      </c>
      <c r="CX1" s="12" t="s">
        <v>58</v>
      </c>
      <c r="CY1" s="10" t="s">
        <v>58</v>
      </c>
      <c r="CZ1" s="10" t="s">
        <v>59</v>
      </c>
      <c r="DA1" s="10" t="s">
        <v>59</v>
      </c>
      <c r="DB1" s="10" t="s">
        <v>60</v>
      </c>
      <c r="DC1" s="10" t="s">
        <v>60</v>
      </c>
      <c r="DD1" s="10" t="s">
        <v>61</v>
      </c>
      <c r="DE1" s="10" t="s">
        <v>61</v>
      </c>
      <c r="DF1" s="10" t="s">
        <v>62</v>
      </c>
      <c r="DG1" s="10" t="s">
        <v>62</v>
      </c>
      <c r="DH1" s="10" t="s">
        <v>63</v>
      </c>
      <c r="DI1" s="10" t="s">
        <v>63</v>
      </c>
      <c r="DJ1" s="10" t="s">
        <v>64</v>
      </c>
      <c r="DK1" s="10" t="s">
        <v>64</v>
      </c>
      <c r="DL1" s="23" t="s">
        <v>65</v>
      </c>
      <c r="DM1" s="23" t="s">
        <v>65</v>
      </c>
      <c r="DN1" s="10" t="s">
        <v>66</v>
      </c>
      <c r="DO1" s="10" t="s">
        <v>66</v>
      </c>
      <c r="DP1" s="12" t="s">
        <v>67</v>
      </c>
      <c r="DQ1" s="10" t="s">
        <v>67</v>
      </c>
      <c r="DR1" s="12" t="s">
        <v>68</v>
      </c>
      <c r="DS1" s="10" t="s">
        <v>68</v>
      </c>
      <c r="DT1" s="10" t="s">
        <v>69</v>
      </c>
      <c r="DU1" s="10" t="s">
        <v>69</v>
      </c>
      <c r="DV1" s="10" t="s">
        <v>70</v>
      </c>
      <c r="DW1" s="10" t="s">
        <v>70</v>
      </c>
      <c r="DX1" s="10" t="s">
        <v>71</v>
      </c>
      <c r="DY1" s="10" t="s">
        <v>71</v>
      </c>
      <c r="DZ1" s="10" t="s">
        <v>72</v>
      </c>
      <c r="EA1" s="10" t="s">
        <v>72</v>
      </c>
      <c r="EB1" s="10" t="s">
        <v>73</v>
      </c>
      <c r="EC1" s="10" t="s">
        <v>73</v>
      </c>
      <c r="ED1" s="10" t="s">
        <v>74</v>
      </c>
      <c r="EE1" s="10" t="s">
        <v>74</v>
      </c>
      <c r="EF1" s="10" t="s">
        <v>75</v>
      </c>
      <c r="EG1" s="10" t="s">
        <v>75</v>
      </c>
      <c r="EH1" s="10" t="s">
        <v>76</v>
      </c>
      <c r="EI1" s="10" t="s">
        <v>76</v>
      </c>
      <c r="EJ1" s="10" t="s">
        <v>77</v>
      </c>
      <c r="EK1" s="10" t="s">
        <v>77</v>
      </c>
      <c r="EL1" s="10" t="s">
        <v>78</v>
      </c>
      <c r="EM1" s="10" t="s">
        <v>78</v>
      </c>
      <c r="EN1" s="10" t="s">
        <v>79</v>
      </c>
      <c r="EO1" s="10" t="s">
        <v>79</v>
      </c>
      <c r="EP1" s="12" t="s">
        <v>80</v>
      </c>
      <c r="EQ1" s="10" t="s">
        <v>80</v>
      </c>
      <c r="ER1" s="10" t="s">
        <v>81</v>
      </c>
      <c r="ES1" s="10" t="s">
        <v>81</v>
      </c>
      <c r="ET1" s="10" t="s">
        <v>82</v>
      </c>
      <c r="EU1" s="10" t="s">
        <v>82</v>
      </c>
      <c r="EV1" s="10" t="s">
        <v>83</v>
      </c>
      <c r="EW1" s="10" t="s">
        <v>83</v>
      </c>
      <c r="EX1" s="10" t="s">
        <v>84</v>
      </c>
      <c r="EY1" s="10" t="s">
        <v>84</v>
      </c>
      <c r="EZ1" s="10" t="s">
        <v>85</v>
      </c>
      <c r="FA1" s="10" t="s">
        <v>85</v>
      </c>
      <c r="FB1" s="10" t="s">
        <v>86</v>
      </c>
      <c r="FC1" s="10" t="s">
        <v>86</v>
      </c>
      <c r="FD1" s="10" t="s">
        <v>87</v>
      </c>
      <c r="FE1" s="10" t="s">
        <v>87</v>
      </c>
      <c r="FF1" s="10" t="s">
        <v>88</v>
      </c>
      <c r="FG1" s="10" t="s">
        <v>88</v>
      </c>
      <c r="FH1" s="10" t="s">
        <v>89</v>
      </c>
      <c r="FI1" s="10" t="s">
        <v>89</v>
      </c>
      <c r="FJ1" s="10" t="s">
        <v>90</v>
      </c>
      <c r="FK1" s="10" t="s">
        <v>90</v>
      </c>
      <c r="FL1" s="10" t="s">
        <v>91</v>
      </c>
      <c r="FM1" s="10" t="s">
        <v>91</v>
      </c>
      <c r="FN1" s="10" t="s">
        <v>92</v>
      </c>
      <c r="FO1" s="10" t="s">
        <v>92</v>
      </c>
      <c r="FP1" s="10" t="s">
        <v>93</v>
      </c>
      <c r="FQ1" s="10" t="s">
        <v>93</v>
      </c>
      <c r="FR1" s="10" t="s">
        <v>94</v>
      </c>
      <c r="FS1" s="10" t="s">
        <v>94</v>
      </c>
      <c r="FT1" s="10" t="s">
        <v>95</v>
      </c>
      <c r="FU1" s="10" t="s">
        <v>95</v>
      </c>
      <c r="FV1" s="10" t="s">
        <v>96</v>
      </c>
      <c r="FW1" s="10" t="s">
        <v>96</v>
      </c>
      <c r="FX1" s="10" t="s">
        <v>97</v>
      </c>
      <c r="FY1" s="10" t="s">
        <v>97</v>
      </c>
      <c r="FZ1" s="10" t="s">
        <v>98</v>
      </c>
      <c r="GA1" s="10" t="s">
        <v>98</v>
      </c>
      <c r="GB1" s="10" t="s">
        <v>99</v>
      </c>
      <c r="GC1" s="10" t="s">
        <v>99</v>
      </c>
      <c r="GD1" s="10" t="s">
        <v>100</v>
      </c>
      <c r="GE1" s="10" t="s">
        <v>100</v>
      </c>
    </row>
    <row r="2" spans="1:187" s="3" customFormat="1" ht="12" x14ac:dyDescent="0.2">
      <c r="A2" s="1">
        <v>20006</v>
      </c>
      <c r="B2" s="1">
        <v>0</v>
      </c>
      <c r="C2" s="1">
        <v>200240131</v>
      </c>
      <c r="D2" s="1" t="s">
        <v>112</v>
      </c>
      <c r="E2" s="1">
        <v>3</v>
      </c>
      <c r="F2" s="1">
        <v>1</v>
      </c>
      <c r="G2" s="1">
        <v>0</v>
      </c>
      <c r="H2" s="1">
        <v>1</v>
      </c>
      <c r="I2" s="8">
        <v>2021</v>
      </c>
      <c r="J2" s="1">
        <v>4</v>
      </c>
      <c r="K2" s="1" t="s">
        <v>0</v>
      </c>
      <c r="L2" s="1">
        <v>2</v>
      </c>
      <c r="M2" s="1">
        <v>30</v>
      </c>
      <c r="N2" s="1">
        <v>0</v>
      </c>
      <c r="O2" s="1">
        <v>44660.822256944448</v>
      </c>
      <c r="P2" s="1">
        <v>14891463</v>
      </c>
      <c r="Q2" s="1">
        <v>14891463</v>
      </c>
      <c r="R2" s="1">
        <v>8241593</v>
      </c>
      <c r="S2" s="1">
        <v>9098100</v>
      </c>
      <c r="T2" s="1">
        <v>6649870</v>
      </c>
      <c r="U2" s="1">
        <v>5793363</v>
      </c>
      <c r="V2" s="1">
        <v>556007</v>
      </c>
      <c r="W2" s="1">
        <v>556007</v>
      </c>
      <c r="X2" s="1">
        <v>556007</v>
      </c>
      <c r="Y2" s="1">
        <v>556007</v>
      </c>
      <c r="Z2" s="1">
        <v>0</v>
      </c>
      <c r="AA2" s="1">
        <v>0</v>
      </c>
      <c r="AB2" s="1">
        <v>311230</v>
      </c>
      <c r="AC2" s="1">
        <v>311230</v>
      </c>
      <c r="AD2" s="1">
        <v>9117</v>
      </c>
      <c r="AE2" s="1">
        <v>9117</v>
      </c>
      <c r="AF2" s="1">
        <v>272113</v>
      </c>
      <c r="AG2" s="1">
        <v>272113</v>
      </c>
      <c r="AH2" s="1"/>
      <c r="AI2" s="1"/>
      <c r="AJ2" s="1"/>
      <c r="AK2" s="1"/>
      <c r="AL2" s="1">
        <v>30000</v>
      </c>
      <c r="AM2" s="1">
        <v>30000</v>
      </c>
      <c r="AN2" s="1">
        <v>136832</v>
      </c>
      <c r="AO2" s="1">
        <v>136832</v>
      </c>
      <c r="AP2" s="1">
        <v>263866</v>
      </c>
      <c r="AQ2" s="1">
        <v>269165</v>
      </c>
      <c r="AR2" s="1">
        <v>1906630</v>
      </c>
      <c r="AS2" s="1">
        <v>2067215</v>
      </c>
      <c r="AT2" s="1"/>
      <c r="AU2" s="1"/>
      <c r="AV2" s="2">
        <v>9268428</v>
      </c>
      <c r="AW2" s="1">
        <v>8577805</v>
      </c>
      <c r="AX2" s="1">
        <v>24531306</v>
      </c>
      <c r="AY2" s="1">
        <v>12162334</v>
      </c>
      <c r="AZ2" s="1">
        <v>5022094</v>
      </c>
      <c r="BA2" s="1">
        <v>6156656</v>
      </c>
      <c r="BB2" s="1"/>
      <c r="BC2" s="1"/>
      <c r="BD2" s="1">
        <v>19509212</v>
      </c>
      <c r="BE2" s="1">
        <v>6005678</v>
      </c>
      <c r="BF2" s="1"/>
      <c r="BG2" s="1"/>
      <c r="BH2" s="1"/>
      <c r="BI2" s="1"/>
      <c r="BJ2" s="1">
        <v>29627260</v>
      </c>
      <c r="BK2" s="1">
        <v>12327260</v>
      </c>
      <c r="BL2" s="1">
        <v>12443201</v>
      </c>
      <c r="BM2" s="1">
        <v>66922943</v>
      </c>
      <c r="BN2" s="1"/>
      <c r="BO2" s="1"/>
      <c r="BP2" s="1">
        <v>336240</v>
      </c>
      <c r="BQ2" s="1">
        <v>63486711</v>
      </c>
      <c r="BR2" s="1"/>
      <c r="BS2" s="1"/>
      <c r="BT2" s="1"/>
      <c r="BU2" s="1"/>
      <c r="BV2" s="1">
        <v>6521</v>
      </c>
      <c r="BW2" s="1">
        <v>6652</v>
      </c>
      <c r="BX2" s="1">
        <v>8649559</v>
      </c>
      <c r="BY2" s="1">
        <v>2773870</v>
      </c>
      <c r="BZ2" s="1">
        <v>3049127</v>
      </c>
      <c r="CA2" s="1">
        <v>315110</v>
      </c>
      <c r="CB2" s="1">
        <v>4137</v>
      </c>
      <c r="CC2" s="1">
        <v>4711</v>
      </c>
      <c r="CD2" s="1"/>
      <c r="CE2" s="1"/>
      <c r="CF2" s="1"/>
      <c r="CG2" s="1"/>
      <c r="CH2" s="1">
        <v>397617</v>
      </c>
      <c r="CI2" s="1">
        <v>335889</v>
      </c>
      <c r="CJ2" s="1">
        <v>585490</v>
      </c>
      <c r="CK2" s="1">
        <v>546670</v>
      </c>
      <c r="CL2" s="1"/>
      <c r="CM2" s="1"/>
      <c r="CN2" s="1">
        <v>1</v>
      </c>
      <c r="CO2" s="1"/>
      <c r="CP2" s="1">
        <v>3417</v>
      </c>
      <c r="CQ2" s="1">
        <v>3535</v>
      </c>
      <c r="CR2" s="1">
        <v>582072</v>
      </c>
      <c r="CS2" s="1">
        <v>543135</v>
      </c>
      <c r="CT2" s="1">
        <v>296711</v>
      </c>
      <c r="CU2" s="1">
        <v>291961</v>
      </c>
      <c r="CV2" s="1"/>
      <c r="CW2" s="1"/>
      <c r="CX2" s="2">
        <v>67483968</v>
      </c>
      <c r="CY2" s="1">
        <v>92251168</v>
      </c>
      <c r="CZ2" s="1">
        <v>76752396</v>
      </c>
      <c r="DA2" s="1">
        <v>100828973</v>
      </c>
      <c r="DB2" s="1">
        <v>1833238</v>
      </c>
      <c r="DC2" s="1">
        <v>1833238</v>
      </c>
      <c r="DD2" s="1"/>
      <c r="DE2" s="1"/>
      <c r="DF2" s="1">
        <v>3402704</v>
      </c>
      <c r="DG2" s="1">
        <v>3402704</v>
      </c>
      <c r="DH2" s="1"/>
      <c r="DI2" s="1"/>
      <c r="DJ2" s="1">
        <v>-12319063</v>
      </c>
      <c r="DK2" s="1">
        <v>-12313502</v>
      </c>
      <c r="DL2" s="24">
        <v>511230</v>
      </c>
      <c r="DM2" s="24">
        <v>511230</v>
      </c>
      <c r="DN2" s="1"/>
      <c r="DO2" s="1"/>
      <c r="DP2" s="2">
        <v>-6571891</v>
      </c>
      <c r="DQ2" s="1">
        <v>-6566330</v>
      </c>
      <c r="DR2" s="2">
        <v>30642279</v>
      </c>
      <c r="DS2" s="1">
        <v>32607213</v>
      </c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>
        <v>30642279</v>
      </c>
      <c r="EM2" s="1">
        <v>32607213</v>
      </c>
      <c r="EN2" s="1"/>
      <c r="EO2" s="1"/>
      <c r="EP2" s="2">
        <v>50094788</v>
      </c>
      <c r="EQ2" s="1">
        <v>74788090</v>
      </c>
      <c r="ER2" s="1">
        <v>10942777</v>
      </c>
      <c r="ES2" s="1">
        <v>38128531</v>
      </c>
      <c r="ET2" s="1"/>
      <c r="EU2" s="1"/>
      <c r="EV2" s="1">
        <v>7913339</v>
      </c>
      <c r="EW2" s="1">
        <v>30667667</v>
      </c>
      <c r="EX2" s="1"/>
      <c r="EY2" s="1"/>
      <c r="EZ2" s="1"/>
      <c r="FA2" s="1"/>
      <c r="FB2" s="1"/>
      <c r="FC2" s="1"/>
      <c r="FD2" s="1"/>
      <c r="FE2" s="1"/>
      <c r="FF2" s="1"/>
      <c r="FG2" s="1"/>
      <c r="FH2" s="1">
        <v>1655</v>
      </c>
      <c r="FI2" s="1">
        <v>416759</v>
      </c>
      <c r="FJ2" s="1">
        <v>250654</v>
      </c>
      <c r="FK2" s="1">
        <v>2893455</v>
      </c>
      <c r="FL2" s="1"/>
      <c r="FM2" s="1"/>
      <c r="FN2" s="1">
        <v>99218</v>
      </c>
      <c r="FO2" s="1">
        <v>244921</v>
      </c>
      <c r="FP2" s="1">
        <v>886565</v>
      </c>
      <c r="FQ2" s="1">
        <v>885581</v>
      </c>
      <c r="FR2" s="1">
        <v>1154369</v>
      </c>
      <c r="FS2" s="1">
        <v>1737003</v>
      </c>
      <c r="FT2" s="1">
        <v>15745000</v>
      </c>
      <c r="FU2" s="1">
        <v>3931000</v>
      </c>
      <c r="FV2" s="1">
        <v>23407011</v>
      </c>
      <c r="FW2" s="1">
        <v>32728559</v>
      </c>
      <c r="FX2" s="1"/>
      <c r="FY2" s="1"/>
      <c r="FZ2" s="1">
        <v>636977</v>
      </c>
      <c r="GA2" s="1">
        <v>1283145</v>
      </c>
      <c r="GB2" s="1">
        <v>80737067</v>
      </c>
      <c r="GC2" s="1">
        <v>107395303</v>
      </c>
      <c r="GD2" s="1">
        <v>74165176</v>
      </c>
      <c r="GE2" s="1">
        <v>100828973</v>
      </c>
    </row>
    <row r="3" spans="1:187" s="3" customFormat="1" ht="12" x14ac:dyDescent="0.2">
      <c r="A3" s="1">
        <v>20006</v>
      </c>
      <c r="B3" s="1">
        <v>0</v>
      </c>
      <c r="C3" s="1">
        <v>200240131</v>
      </c>
      <c r="D3" s="1" t="s">
        <v>112</v>
      </c>
      <c r="E3" s="1">
        <v>3</v>
      </c>
      <c r="F3" s="1">
        <v>1</v>
      </c>
      <c r="G3" s="1">
        <v>0</v>
      </c>
      <c r="H3" s="1">
        <v>1</v>
      </c>
      <c r="I3" s="8">
        <v>2020</v>
      </c>
      <c r="J3" s="1">
        <v>4</v>
      </c>
      <c r="K3" s="1" t="s">
        <v>0</v>
      </c>
      <c r="L3" s="1">
        <v>1</v>
      </c>
      <c r="M3" s="1">
        <v>30</v>
      </c>
      <c r="N3" s="1">
        <v>0</v>
      </c>
      <c r="O3" s="1">
        <v>44240.648460648146</v>
      </c>
      <c r="P3" s="1">
        <v>15160699</v>
      </c>
      <c r="Q3" s="1">
        <v>14891463</v>
      </c>
      <c r="R3" s="1">
        <v>7565795</v>
      </c>
      <c r="S3" s="1">
        <v>8241711</v>
      </c>
      <c r="T3" s="1">
        <v>7594904</v>
      </c>
      <c r="U3" s="1">
        <v>6649752</v>
      </c>
      <c r="V3" s="1">
        <v>556007</v>
      </c>
      <c r="W3" s="1">
        <v>556007</v>
      </c>
      <c r="X3" s="1">
        <v>444806</v>
      </c>
      <c r="Y3" s="1">
        <v>556007</v>
      </c>
      <c r="Z3" s="1">
        <v>111201</v>
      </c>
      <c r="AA3" s="1">
        <v>0</v>
      </c>
      <c r="AB3" s="1">
        <v>325356</v>
      </c>
      <c r="AC3" s="1">
        <v>311230</v>
      </c>
      <c r="AD3" s="1">
        <v>23243</v>
      </c>
      <c r="AE3" s="1">
        <v>9117</v>
      </c>
      <c r="AF3" s="1">
        <v>272113</v>
      </c>
      <c r="AG3" s="1">
        <v>272113</v>
      </c>
      <c r="AH3" s="1"/>
      <c r="AI3" s="1"/>
      <c r="AJ3" s="1"/>
      <c r="AK3" s="1"/>
      <c r="AL3" s="1">
        <v>30000</v>
      </c>
      <c r="AM3" s="1">
        <v>30000</v>
      </c>
      <c r="AN3" s="1">
        <v>136832</v>
      </c>
      <c r="AO3" s="1">
        <v>136832</v>
      </c>
      <c r="AP3" s="1">
        <v>432398</v>
      </c>
      <c r="AQ3" s="1">
        <v>263867</v>
      </c>
      <c r="AR3" s="1">
        <v>1556214</v>
      </c>
      <c r="AS3" s="1">
        <v>1906629</v>
      </c>
      <c r="AT3" s="1"/>
      <c r="AU3" s="1"/>
      <c r="AV3" s="2">
        <v>10156905</v>
      </c>
      <c r="AW3" s="1">
        <v>9268310</v>
      </c>
      <c r="AX3" s="1">
        <v>22172154</v>
      </c>
      <c r="AY3" s="1">
        <v>24433848</v>
      </c>
      <c r="AZ3" s="1">
        <v>6924978</v>
      </c>
      <c r="BA3" s="1">
        <v>5022149</v>
      </c>
      <c r="BB3" s="1"/>
      <c r="BC3" s="1"/>
      <c r="BD3" s="1">
        <v>15247176</v>
      </c>
      <c r="BE3" s="1">
        <v>19411699</v>
      </c>
      <c r="BF3" s="1"/>
      <c r="BG3" s="1"/>
      <c r="BH3" s="1">
        <v>2920</v>
      </c>
      <c r="BI3" s="1"/>
      <c r="BJ3" s="1">
        <v>28899167</v>
      </c>
      <c r="BK3" s="1">
        <v>29744238</v>
      </c>
      <c r="BL3" s="1">
        <v>5477009</v>
      </c>
      <c r="BM3" s="1">
        <v>12632393</v>
      </c>
      <c r="BN3" s="1">
        <v>785597</v>
      </c>
      <c r="BO3" s="1">
        <v>622280</v>
      </c>
      <c r="BP3" s="1">
        <v>857301</v>
      </c>
      <c r="BQ3" s="1">
        <v>336240</v>
      </c>
      <c r="BR3" s="1"/>
      <c r="BS3" s="1"/>
      <c r="BT3" s="1"/>
      <c r="BU3" s="1"/>
      <c r="BV3" s="1">
        <v>31599</v>
      </c>
      <c r="BW3" s="1">
        <v>6520</v>
      </c>
      <c r="BX3" s="1">
        <v>834064</v>
      </c>
      <c r="BY3" s="1">
        <v>8535906</v>
      </c>
      <c r="BZ3" s="1">
        <v>1401435</v>
      </c>
      <c r="CA3" s="1">
        <v>2660945</v>
      </c>
      <c r="CB3" s="1">
        <v>4137</v>
      </c>
      <c r="CC3" s="1">
        <v>4594</v>
      </c>
      <c r="CD3" s="1"/>
      <c r="CE3" s="1"/>
      <c r="CF3" s="1"/>
      <c r="CG3" s="1"/>
      <c r="CH3" s="1">
        <v>2348473</v>
      </c>
      <c r="CI3" s="1">
        <v>1088188</v>
      </c>
      <c r="CJ3" s="1">
        <v>25208</v>
      </c>
      <c r="CK3" s="1">
        <v>8454</v>
      </c>
      <c r="CL3" s="1"/>
      <c r="CM3" s="1"/>
      <c r="CN3" s="1">
        <v>16659</v>
      </c>
      <c r="CO3" s="1"/>
      <c r="CP3" s="1">
        <v>3101</v>
      </c>
      <c r="CQ3" s="1">
        <v>3417</v>
      </c>
      <c r="CR3" s="1">
        <v>5448</v>
      </c>
      <c r="CS3" s="1">
        <v>5037</v>
      </c>
      <c r="CT3" s="1">
        <v>531046</v>
      </c>
      <c r="CU3" s="1">
        <v>296711</v>
      </c>
      <c r="CV3" s="1"/>
      <c r="CW3" s="1"/>
      <c r="CX3" s="2">
        <v>57107504</v>
      </c>
      <c r="CY3" s="1">
        <v>67115644</v>
      </c>
      <c r="CZ3" s="1">
        <v>67264409</v>
      </c>
      <c r="DA3" s="1">
        <v>76383954</v>
      </c>
      <c r="DB3" s="1">
        <v>1833238</v>
      </c>
      <c r="DC3" s="1">
        <v>1833238</v>
      </c>
      <c r="DD3" s="1"/>
      <c r="DE3" s="1"/>
      <c r="DF3" s="1">
        <v>3433449</v>
      </c>
      <c r="DG3" s="1">
        <v>3390157</v>
      </c>
      <c r="DH3" s="1"/>
      <c r="DI3" s="1"/>
      <c r="DJ3" s="1">
        <v>2342361</v>
      </c>
      <c r="DK3" s="1">
        <v>-12453753</v>
      </c>
      <c r="DL3" s="24">
        <v>262047</v>
      </c>
      <c r="DM3" s="24">
        <v>478723</v>
      </c>
      <c r="DN3" s="1"/>
      <c r="DO3" s="1"/>
      <c r="DP3" s="2">
        <v>7871095</v>
      </c>
      <c r="DQ3" s="1">
        <v>-6751635</v>
      </c>
      <c r="DR3" s="2">
        <v>29569418</v>
      </c>
      <c r="DS3" s="1">
        <v>33152642</v>
      </c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>
        <v>29569418</v>
      </c>
      <c r="EM3" s="1">
        <v>33152642</v>
      </c>
      <c r="EN3" s="1"/>
      <c r="EO3" s="1"/>
      <c r="EP3" s="2">
        <v>29823896</v>
      </c>
      <c r="EQ3" s="1">
        <v>49982947</v>
      </c>
      <c r="ER3" s="1">
        <v>8308735</v>
      </c>
      <c r="ES3" s="1">
        <v>10830936</v>
      </c>
      <c r="ET3" s="1">
        <v>100184</v>
      </c>
      <c r="EU3" s="1">
        <v>72240</v>
      </c>
      <c r="EV3" s="1">
        <v>3957634</v>
      </c>
      <c r="EW3" s="1">
        <v>7456941</v>
      </c>
      <c r="EX3" s="1"/>
      <c r="EY3" s="1"/>
      <c r="EZ3" s="1"/>
      <c r="FA3" s="1"/>
      <c r="FB3" s="1"/>
      <c r="FC3" s="1"/>
      <c r="FD3" s="1"/>
      <c r="FE3" s="1"/>
      <c r="FF3" s="1"/>
      <c r="FG3" s="1"/>
      <c r="FH3" s="1">
        <v>6517</v>
      </c>
      <c r="FI3" s="1">
        <v>1655</v>
      </c>
      <c r="FJ3" s="1">
        <v>138090</v>
      </c>
      <c r="FK3" s="1">
        <v>244060</v>
      </c>
      <c r="FL3" s="1"/>
      <c r="FM3" s="1"/>
      <c r="FN3" s="1">
        <v>193310</v>
      </c>
      <c r="FO3" s="1"/>
      <c r="FP3" s="1">
        <v>131444</v>
      </c>
      <c r="FQ3" s="1">
        <v>886565</v>
      </c>
      <c r="FR3" s="1">
        <v>859826</v>
      </c>
      <c r="FS3" s="1">
        <v>1149170</v>
      </c>
      <c r="FT3" s="1">
        <v>21400000</v>
      </c>
      <c r="FU3" s="1">
        <v>15745000</v>
      </c>
      <c r="FV3" s="1">
        <v>115161</v>
      </c>
      <c r="FW3" s="1">
        <v>23407011</v>
      </c>
      <c r="FX3" s="1"/>
      <c r="FY3" s="1"/>
      <c r="FZ3" s="1">
        <v>3021914</v>
      </c>
      <c r="GA3" s="1">
        <v>1092545</v>
      </c>
      <c r="GB3" s="1">
        <v>59393314</v>
      </c>
      <c r="GC3" s="1">
        <v>83135589</v>
      </c>
      <c r="GD3" s="1">
        <v>67264409</v>
      </c>
      <c r="GE3" s="1">
        <v>76383954</v>
      </c>
    </row>
    <row r="4" spans="1:187" s="3" customFormat="1" ht="12" x14ac:dyDescent="0.2">
      <c r="A4" s="1">
        <v>20006</v>
      </c>
      <c r="B4" s="1">
        <v>0</v>
      </c>
      <c r="C4" s="1">
        <v>200240131</v>
      </c>
      <c r="D4" s="1" t="s">
        <v>112</v>
      </c>
      <c r="E4" s="1">
        <v>3</v>
      </c>
      <c r="F4" s="1">
        <v>1</v>
      </c>
      <c r="G4" s="1">
        <v>0</v>
      </c>
      <c r="H4" s="1">
        <v>1</v>
      </c>
      <c r="I4" s="8">
        <v>2019</v>
      </c>
      <c r="J4" s="1">
        <v>4</v>
      </c>
      <c r="K4" s="1" t="s">
        <v>0</v>
      </c>
      <c r="L4" s="1">
        <v>1</v>
      </c>
      <c r="M4" s="1">
        <v>30</v>
      </c>
      <c r="N4" s="1">
        <v>0</v>
      </c>
      <c r="O4" s="1">
        <v>43875.626655092594</v>
      </c>
      <c r="P4" s="1">
        <v>12335367</v>
      </c>
      <c r="Q4" s="1">
        <v>14370848</v>
      </c>
      <c r="R4" s="1">
        <v>7184838</v>
      </c>
      <c r="S4" s="1">
        <v>7175500</v>
      </c>
      <c r="T4" s="1">
        <v>5150529</v>
      </c>
      <c r="U4" s="1">
        <v>7195348</v>
      </c>
      <c r="V4" s="1">
        <v>556007</v>
      </c>
      <c r="W4" s="1">
        <v>556007</v>
      </c>
      <c r="X4" s="1">
        <v>333604</v>
      </c>
      <c r="Y4" s="1">
        <v>444806</v>
      </c>
      <c r="Z4" s="1">
        <v>222403</v>
      </c>
      <c r="AA4" s="1">
        <v>111201</v>
      </c>
      <c r="AB4" s="1">
        <v>325356</v>
      </c>
      <c r="AC4" s="1">
        <v>325356</v>
      </c>
      <c r="AD4" s="1">
        <v>23243</v>
      </c>
      <c r="AE4" s="1">
        <v>23243</v>
      </c>
      <c r="AF4" s="1">
        <v>272113</v>
      </c>
      <c r="AG4" s="1">
        <v>272113</v>
      </c>
      <c r="AH4" s="1"/>
      <c r="AI4" s="1"/>
      <c r="AJ4" s="1"/>
      <c r="AK4" s="1"/>
      <c r="AL4" s="1">
        <v>30000</v>
      </c>
      <c r="AM4" s="1">
        <v>30000</v>
      </c>
      <c r="AN4" s="1">
        <v>237348</v>
      </c>
      <c r="AO4" s="1">
        <v>127523</v>
      </c>
      <c r="AP4" s="1">
        <v>275234</v>
      </c>
      <c r="AQ4" s="1">
        <v>401843</v>
      </c>
      <c r="AR4" s="1">
        <v>1266868</v>
      </c>
      <c r="AS4" s="1">
        <v>1556214</v>
      </c>
      <c r="AT4" s="1"/>
      <c r="AU4" s="1"/>
      <c r="AV4" s="2">
        <v>7477738</v>
      </c>
      <c r="AW4" s="1">
        <v>9717485</v>
      </c>
      <c r="AX4" s="1">
        <v>11734265</v>
      </c>
      <c r="AY4" s="1">
        <v>22172154</v>
      </c>
      <c r="AZ4" s="1">
        <v>7196771</v>
      </c>
      <c r="BA4" s="1">
        <v>6924978</v>
      </c>
      <c r="BB4" s="1"/>
      <c r="BC4" s="1"/>
      <c r="BD4" s="1">
        <v>4537494</v>
      </c>
      <c r="BE4" s="1">
        <v>15247176</v>
      </c>
      <c r="BF4" s="1"/>
      <c r="BG4" s="1"/>
      <c r="BH4" s="1">
        <v>20832</v>
      </c>
      <c r="BI4" s="1">
        <v>2920</v>
      </c>
      <c r="BJ4" s="1">
        <v>26899637</v>
      </c>
      <c r="BK4" s="1">
        <v>28899167</v>
      </c>
      <c r="BL4" s="1">
        <v>6124106</v>
      </c>
      <c r="BM4" s="1">
        <v>5477009</v>
      </c>
      <c r="BN4" s="1">
        <v>610583</v>
      </c>
      <c r="BO4" s="1">
        <v>785597</v>
      </c>
      <c r="BP4" s="1">
        <v>1839893</v>
      </c>
      <c r="BQ4" s="1">
        <v>857301</v>
      </c>
      <c r="BR4" s="1"/>
      <c r="BS4" s="1"/>
      <c r="BT4" s="1"/>
      <c r="BU4" s="1"/>
      <c r="BV4" s="1">
        <v>35497</v>
      </c>
      <c r="BW4" s="1">
        <v>31599</v>
      </c>
      <c r="BX4" s="1">
        <v>1220116</v>
      </c>
      <c r="BY4" s="1">
        <v>834064</v>
      </c>
      <c r="BZ4" s="1">
        <v>692024</v>
      </c>
      <c r="CA4" s="1">
        <v>1401435</v>
      </c>
      <c r="CB4" s="1"/>
      <c r="CC4" s="1">
        <v>4137</v>
      </c>
      <c r="CD4" s="1"/>
      <c r="CE4" s="1"/>
      <c r="CF4" s="1"/>
      <c r="CG4" s="1"/>
      <c r="CH4" s="1">
        <v>2336576</v>
      </c>
      <c r="CI4" s="1">
        <v>2348473</v>
      </c>
      <c r="CJ4" s="1">
        <v>863321</v>
      </c>
      <c r="CK4" s="1">
        <v>25208</v>
      </c>
      <c r="CL4" s="1"/>
      <c r="CM4" s="1"/>
      <c r="CN4" s="1">
        <v>23612</v>
      </c>
      <c r="CO4" s="1">
        <v>16659</v>
      </c>
      <c r="CP4" s="1">
        <v>832163</v>
      </c>
      <c r="CQ4" s="1">
        <v>3101</v>
      </c>
      <c r="CR4" s="1">
        <v>7546</v>
      </c>
      <c r="CS4" s="1">
        <v>5448</v>
      </c>
      <c r="CT4" s="1">
        <v>1362271</v>
      </c>
      <c r="CU4" s="1">
        <v>531046</v>
      </c>
      <c r="CV4" s="1"/>
      <c r="CW4" s="1"/>
      <c r="CX4" s="2">
        <v>47004432</v>
      </c>
      <c r="CY4" s="1">
        <v>57107504</v>
      </c>
      <c r="CZ4" s="1">
        <v>54482170</v>
      </c>
      <c r="DA4" s="1">
        <v>66824989</v>
      </c>
      <c r="DB4" s="1">
        <v>1833238</v>
      </c>
      <c r="DC4" s="1">
        <v>1833238</v>
      </c>
      <c r="DD4" s="1"/>
      <c r="DE4" s="1"/>
      <c r="DF4" s="1">
        <v>3529736</v>
      </c>
      <c r="DG4" s="1">
        <v>2994029</v>
      </c>
      <c r="DH4" s="1"/>
      <c r="DI4" s="1"/>
      <c r="DJ4" s="1">
        <v>2063462</v>
      </c>
      <c r="DK4" s="1">
        <v>2342361</v>
      </c>
      <c r="DL4" s="24">
        <v>100798</v>
      </c>
      <c r="DM4" s="24">
        <v>262047</v>
      </c>
      <c r="DN4" s="1"/>
      <c r="DO4" s="1"/>
      <c r="DP4" s="2">
        <v>7527234</v>
      </c>
      <c r="DQ4" s="1">
        <v>7431675</v>
      </c>
      <c r="DR4" s="2">
        <v>28001815</v>
      </c>
      <c r="DS4" s="1">
        <v>29569418</v>
      </c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>
        <v>28001815</v>
      </c>
      <c r="EM4" s="1">
        <v>29569418</v>
      </c>
      <c r="EN4" s="1"/>
      <c r="EO4" s="1"/>
      <c r="EP4" s="2">
        <v>18953121</v>
      </c>
      <c r="EQ4" s="1">
        <v>29823896</v>
      </c>
      <c r="ER4" s="1">
        <v>3300023</v>
      </c>
      <c r="ES4" s="1">
        <v>8308735</v>
      </c>
      <c r="ET4" s="1">
        <v>53590</v>
      </c>
      <c r="EU4" s="1">
        <v>100184</v>
      </c>
      <c r="EV4" s="1">
        <v>764985</v>
      </c>
      <c r="EW4" s="1">
        <v>3957634</v>
      </c>
      <c r="EX4" s="1"/>
      <c r="EY4" s="1"/>
      <c r="EZ4" s="1"/>
      <c r="FA4" s="1"/>
      <c r="FB4" s="1"/>
      <c r="FC4" s="1"/>
      <c r="FD4" s="1"/>
      <c r="FE4" s="1"/>
      <c r="FF4" s="1"/>
      <c r="FG4" s="1"/>
      <c r="FH4" s="1">
        <v>43485</v>
      </c>
      <c r="FI4" s="1">
        <v>6517</v>
      </c>
      <c r="FJ4" s="1">
        <v>73580</v>
      </c>
      <c r="FK4" s="1">
        <v>138090</v>
      </c>
      <c r="FL4" s="1"/>
      <c r="FM4" s="1"/>
      <c r="FN4" s="1">
        <v>699074</v>
      </c>
      <c r="FO4" s="1">
        <v>193310</v>
      </c>
      <c r="FP4" s="1">
        <v>82224</v>
      </c>
      <c r="FQ4" s="1">
        <v>131444</v>
      </c>
      <c r="FR4" s="1">
        <v>507432</v>
      </c>
      <c r="FS4" s="1">
        <v>859826</v>
      </c>
      <c r="FT4" s="1">
        <v>15594752</v>
      </c>
      <c r="FU4" s="1">
        <v>21400000</v>
      </c>
      <c r="FV4" s="1">
        <v>58346</v>
      </c>
      <c r="FW4" s="1">
        <v>115161</v>
      </c>
      <c r="FX4" s="1"/>
      <c r="FY4" s="1"/>
      <c r="FZ4" s="1">
        <v>1129243</v>
      </c>
      <c r="GA4" s="1">
        <v>3021914</v>
      </c>
      <c r="GB4" s="1">
        <v>46954936</v>
      </c>
      <c r="GC4" s="1">
        <v>59393314</v>
      </c>
      <c r="GD4" s="1">
        <v>54482170</v>
      </c>
      <c r="GE4" s="1">
        <v>66824989</v>
      </c>
    </row>
    <row r="5" spans="1:187" s="3" customFormat="1" x14ac:dyDescent="0.25">
      <c r="A5" s="1">
        <v>20006</v>
      </c>
      <c r="B5" s="1">
        <v>0</v>
      </c>
      <c r="C5" s="3">
        <v>200240131</v>
      </c>
      <c r="D5" s="8" t="s">
        <v>112</v>
      </c>
      <c r="E5" s="4">
        <v>3</v>
      </c>
      <c r="F5" s="4">
        <v>1</v>
      </c>
      <c r="G5" s="4">
        <v>0</v>
      </c>
      <c r="H5" s="4">
        <v>1</v>
      </c>
      <c r="I5" s="8">
        <v>2018</v>
      </c>
      <c r="J5" s="1">
        <v>4</v>
      </c>
      <c r="K5" s="3" t="s">
        <v>0</v>
      </c>
      <c r="L5" s="1">
        <v>1</v>
      </c>
      <c r="M5" s="1">
        <v>30</v>
      </c>
      <c r="N5" s="5">
        <v>0</v>
      </c>
      <c r="O5" s="6">
        <v>43508.483229166668</v>
      </c>
      <c r="P5" s="1">
        <v>11101851</v>
      </c>
      <c r="Q5" s="1">
        <v>11540839</v>
      </c>
      <c r="R5" s="1">
        <v>6422483</v>
      </c>
      <c r="S5" s="1">
        <v>6775850</v>
      </c>
      <c r="T5" s="1">
        <v>4679368</v>
      </c>
      <c r="U5" s="1">
        <v>4764989</v>
      </c>
      <c r="V5" s="1">
        <v>556007</v>
      </c>
      <c r="W5" s="1">
        <v>556007</v>
      </c>
      <c r="X5" s="1">
        <v>333604</v>
      </c>
      <c r="Y5" s="1">
        <v>333604</v>
      </c>
      <c r="Z5" s="1">
        <v>222403</v>
      </c>
      <c r="AA5" s="1">
        <v>222403</v>
      </c>
      <c r="AB5" s="1">
        <v>345057</v>
      </c>
      <c r="AC5" s="1">
        <v>325356</v>
      </c>
      <c r="AD5" s="1">
        <v>21694</v>
      </c>
      <c r="AE5" s="1">
        <v>23243</v>
      </c>
      <c r="AF5" s="1">
        <v>272113</v>
      </c>
      <c r="AG5" s="1">
        <v>272113</v>
      </c>
      <c r="AH5" s="1"/>
      <c r="AI5" s="1"/>
      <c r="AJ5" s="1"/>
      <c r="AK5" s="1"/>
      <c r="AL5" s="1">
        <v>51250</v>
      </c>
      <c r="AM5" s="1">
        <v>30000</v>
      </c>
      <c r="AN5" s="1">
        <v>561985</v>
      </c>
      <c r="AO5" s="1">
        <v>227345</v>
      </c>
      <c r="AP5" s="1">
        <v>128798</v>
      </c>
      <c r="AQ5" s="1">
        <v>258400</v>
      </c>
      <c r="AR5" s="1">
        <v>84711</v>
      </c>
      <c r="AS5" s="1">
        <v>1266868</v>
      </c>
      <c r="AT5" s="1"/>
      <c r="AU5" s="1"/>
      <c r="AV5" s="2">
        <v>6022322</v>
      </c>
      <c r="AW5" s="1">
        <v>7065361</v>
      </c>
      <c r="AX5" s="1">
        <v>7450861</v>
      </c>
      <c r="AY5" s="1">
        <v>11734265</v>
      </c>
      <c r="AZ5" s="1">
        <v>4662038</v>
      </c>
      <c r="BA5" s="1">
        <v>7196771</v>
      </c>
      <c r="BB5" s="1"/>
      <c r="BC5" s="1"/>
      <c r="BD5" s="1">
        <v>2788823</v>
      </c>
      <c r="BE5" s="1">
        <v>4537494</v>
      </c>
      <c r="BF5" s="1"/>
      <c r="BG5" s="1"/>
      <c r="BH5" s="1">
        <v>25639</v>
      </c>
      <c r="BI5" s="1">
        <v>20832</v>
      </c>
      <c r="BJ5" s="1">
        <v>27089450</v>
      </c>
      <c r="BK5" s="1">
        <v>26899637</v>
      </c>
      <c r="BL5" s="1">
        <v>2750262</v>
      </c>
      <c r="BM5" s="1">
        <v>6124106</v>
      </c>
      <c r="BN5" s="1">
        <v>650380</v>
      </c>
      <c r="BO5" s="1">
        <v>610583</v>
      </c>
      <c r="BP5" s="1">
        <v>415796</v>
      </c>
      <c r="BQ5" s="1">
        <v>1839893</v>
      </c>
      <c r="BR5" s="1"/>
      <c r="BS5" s="1"/>
      <c r="BT5" s="1"/>
      <c r="BU5" s="1"/>
      <c r="BV5" s="1">
        <v>28118</v>
      </c>
      <c r="BW5" s="1">
        <v>35497</v>
      </c>
      <c r="BX5" s="1">
        <v>501253</v>
      </c>
      <c r="BY5" s="1">
        <v>1220116</v>
      </c>
      <c r="BZ5" s="1">
        <v>102081</v>
      </c>
      <c r="CA5" s="1">
        <v>692024</v>
      </c>
      <c r="CB5" s="1"/>
      <c r="CC5" s="1"/>
      <c r="CD5" s="1"/>
      <c r="CE5" s="1"/>
      <c r="CF5" s="1"/>
      <c r="CG5" s="1"/>
      <c r="CH5" s="1">
        <v>1703014</v>
      </c>
      <c r="CI5" s="1">
        <v>2336576</v>
      </c>
      <c r="CJ5" s="1">
        <v>273182</v>
      </c>
      <c r="CK5" s="1">
        <v>863321</v>
      </c>
      <c r="CL5" s="1"/>
      <c r="CM5" s="1"/>
      <c r="CN5" s="1">
        <v>265873</v>
      </c>
      <c r="CO5" s="1">
        <v>23612</v>
      </c>
      <c r="CP5" s="1">
        <v>2649</v>
      </c>
      <c r="CQ5" s="1">
        <v>832163</v>
      </c>
      <c r="CR5" s="1">
        <v>4660</v>
      </c>
      <c r="CS5" s="1">
        <v>7546</v>
      </c>
      <c r="CT5" s="1">
        <v>227223</v>
      </c>
      <c r="CU5" s="1">
        <v>1362271</v>
      </c>
      <c r="CV5" s="1"/>
      <c r="CW5" s="1"/>
      <c r="CX5" s="2">
        <v>37816617</v>
      </c>
      <c r="CY5" s="1">
        <v>47004432</v>
      </c>
      <c r="CZ5" s="1">
        <v>43838939</v>
      </c>
      <c r="DA5" s="1">
        <v>54069793</v>
      </c>
      <c r="DB5" s="1">
        <v>1833238</v>
      </c>
      <c r="DC5" s="1">
        <v>1833238</v>
      </c>
      <c r="DD5" s="1"/>
      <c r="DE5" s="1"/>
      <c r="DF5" s="1">
        <v>3349287</v>
      </c>
      <c r="DG5" s="1">
        <v>3117359</v>
      </c>
      <c r="DH5" s="1"/>
      <c r="DI5" s="1"/>
      <c r="DJ5" s="1">
        <v>1119975</v>
      </c>
      <c r="DK5" s="1">
        <v>2063462</v>
      </c>
      <c r="DL5" s="24"/>
      <c r="DM5" s="24">
        <v>100798</v>
      </c>
      <c r="DN5" s="1"/>
      <c r="DO5" s="1"/>
      <c r="DP5" s="2">
        <v>6302500</v>
      </c>
      <c r="DQ5" s="1">
        <v>7114857</v>
      </c>
      <c r="DR5" s="2">
        <v>28571453</v>
      </c>
      <c r="DS5" s="1">
        <v>28001815</v>
      </c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>
        <v>28571453</v>
      </c>
      <c r="EM5" s="1">
        <v>28001815</v>
      </c>
      <c r="EN5" s="1"/>
      <c r="EO5" s="1"/>
      <c r="EP5" s="2">
        <v>8964986</v>
      </c>
      <c r="EQ5" s="1">
        <v>18953121</v>
      </c>
      <c r="ER5" s="1">
        <v>5314486</v>
      </c>
      <c r="ES5" s="1">
        <v>3300023</v>
      </c>
      <c r="ET5" s="1">
        <v>68898</v>
      </c>
      <c r="EU5" s="1">
        <v>53590</v>
      </c>
      <c r="EV5" s="1">
        <v>2673586</v>
      </c>
      <c r="EW5" s="1">
        <v>764985</v>
      </c>
      <c r="EX5" s="1"/>
      <c r="EY5" s="1"/>
      <c r="EZ5" s="1"/>
      <c r="FA5" s="1"/>
      <c r="FB5" s="1"/>
      <c r="FC5" s="1"/>
      <c r="FD5" s="1"/>
      <c r="FE5" s="1"/>
      <c r="FF5" s="1"/>
      <c r="FG5" s="1"/>
      <c r="FH5" s="1">
        <v>64591</v>
      </c>
      <c r="FI5" s="1">
        <v>43485</v>
      </c>
      <c r="FJ5" s="1">
        <v>1128237</v>
      </c>
      <c r="FK5" s="1">
        <v>73580</v>
      </c>
      <c r="FL5" s="1"/>
      <c r="FM5" s="1"/>
      <c r="FN5" s="1">
        <v>468669</v>
      </c>
      <c r="FO5" s="1">
        <v>699074</v>
      </c>
      <c r="FP5" s="1">
        <v>113691</v>
      </c>
      <c r="FQ5" s="1">
        <v>82224</v>
      </c>
      <c r="FR5" s="1">
        <v>494076</v>
      </c>
      <c r="FS5" s="1">
        <v>507432</v>
      </c>
      <c r="FT5" s="1">
        <v>3650500</v>
      </c>
      <c r="FU5" s="1">
        <v>15594752</v>
      </c>
      <c r="FV5" s="1"/>
      <c r="FW5" s="1">
        <v>58346</v>
      </c>
      <c r="FX5" s="1"/>
      <c r="FY5" s="1"/>
      <c r="FZ5" s="1">
        <v>371636</v>
      </c>
      <c r="GA5" s="1">
        <v>1129243</v>
      </c>
      <c r="GB5" s="1">
        <v>37536439</v>
      </c>
      <c r="GC5" s="1">
        <v>46954936</v>
      </c>
      <c r="GD5" s="1">
        <v>43838939</v>
      </c>
      <c r="GE5" s="1">
        <v>54069793</v>
      </c>
    </row>
    <row r="6" spans="1:187" s="3" customFormat="1" ht="12" x14ac:dyDescent="0.2">
      <c r="A6" s="1">
        <v>20006</v>
      </c>
      <c r="B6" s="1">
        <v>0</v>
      </c>
      <c r="C6" s="1">
        <v>200244553</v>
      </c>
      <c r="D6" s="1" t="s">
        <v>113</v>
      </c>
      <c r="E6" s="1">
        <v>3</v>
      </c>
      <c r="F6" s="1">
        <v>15</v>
      </c>
      <c r="G6" s="1">
        <v>0</v>
      </c>
      <c r="H6" s="1">
        <v>1</v>
      </c>
      <c r="I6" s="8">
        <v>2021</v>
      </c>
      <c r="J6" s="1">
        <v>4</v>
      </c>
      <c r="K6" s="1" t="s">
        <v>0</v>
      </c>
      <c r="L6" s="1">
        <v>2</v>
      </c>
      <c r="M6" s="1">
        <v>30</v>
      </c>
      <c r="N6" s="1">
        <v>0</v>
      </c>
      <c r="O6" s="1">
        <v>44606.8984375</v>
      </c>
      <c r="P6" s="1">
        <v>26237285</v>
      </c>
      <c r="Q6" s="1">
        <v>26170297</v>
      </c>
      <c r="R6" s="1">
        <v>13742606</v>
      </c>
      <c r="S6" s="1">
        <v>14786616</v>
      </c>
      <c r="T6" s="1">
        <v>12494679</v>
      </c>
      <c r="U6" s="1">
        <v>11383681</v>
      </c>
      <c r="V6" s="1">
        <v>14000</v>
      </c>
      <c r="W6" s="1">
        <v>14000</v>
      </c>
      <c r="X6" s="1">
        <v>14000</v>
      </c>
      <c r="Y6" s="1">
        <v>14000</v>
      </c>
      <c r="Z6" s="1">
        <v>0</v>
      </c>
      <c r="AA6" s="1">
        <v>0</v>
      </c>
      <c r="AB6" s="1">
        <v>414991</v>
      </c>
      <c r="AC6" s="1">
        <v>414991</v>
      </c>
      <c r="AD6" s="1">
        <v>5000</v>
      </c>
      <c r="AE6" s="1">
        <v>5000</v>
      </c>
      <c r="AF6" s="1">
        <v>11000</v>
      </c>
      <c r="AG6" s="1">
        <v>11000</v>
      </c>
      <c r="AH6" s="1"/>
      <c r="AI6" s="1"/>
      <c r="AJ6" s="1"/>
      <c r="AK6" s="1"/>
      <c r="AL6" s="1">
        <v>398991</v>
      </c>
      <c r="AM6" s="1">
        <v>398991</v>
      </c>
      <c r="AN6" s="1"/>
      <c r="AO6" s="1"/>
      <c r="AP6" s="1"/>
      <c r="AQ6" s="1"/>
      <c r="AR6" s="1">
        <v>2262786</v>
      </c>
      <c r="AS6" s="1">
        <v>2372291</v>
      </c>
      <c r="AT6" s="1"/>
      <c r="AU6" s="1"/>
      <c r="AV6" s="2">
        <v>15172456</v>
      </c>
      <c r="AW6" s="1">
        <v>14170963</v>
      </c>
      <c r="AX6" s="1">
        <v>24715469</v>
      </c>
      <c r="AY6" s="1">
        <v>20709898</v>
      </c>
      <c r="AZ6" s="1">
        <v>12313497</v>
      </c>
      <c r="BA6" s="1">
        <v>7908816</v>
      </c>
      <c r="BB6" s="1"/>
      <c r="BC6" s="1">
        <v>342483</v>
      </c>
      <c r="BD6" s="1">
        <v>12401972</v>
      </c>
      <c r="BE6" s="1">
        <v>12458599</v>
      </c>
      <c r="BF6" s="1"/>
      <c r="BG6" s="1"/>
      <c r="BH6" s="1"/>
      <c r="BI6" s="1"/>
      <c r="BJ6" s="1"/>
      <c r="BK6" s="1"/>
      <c r="BL6" s="1">
        <v>14504336</v>
      </c>
      <c r="BM6" s="1">
        <v>14251183</v>
      </c>
      <c r="BN6" s="1"/>
      <c r="BO6" s="1"/>
      <c r="BP6" s="1">
        <v>1929624</v>
      </c>
      <c r="BQ6" s="1">
        <v>159965</v>
      </c>
      <c r="BR6" s="1"/>
      <c r="BS6" s="1"/>
      <c r="BT6" s="1"/>
      <c r="BU6" s="1"/>
      <c r="BV6" s="1"/>
      <c r="BW6" s="1"/>
      <c r="BX6" s="1">
        <v>10920306</v>
      </c>
      <c r="BY6" s="1">
        <v>13477525</v>
      </c>
      <c r="BZ6" s="1">
        <v>1578988</v>
      </c>
      <c r="CA6" s="1">
        <v>416440</v>
      </c>
      <c r="CB6" s="1">
        <v>5</v>
      </c>
      <c r="CC6" s="1">
        <v>1266</v>
      </c>
      <c r="CD6" s="1"/>
      <c r="CE6" s="1"/>
      <c r="CF6" s="1">
        <v>17878</v>
      </c>
      <c r="CG6" s="1">
        <v>14663</v>
      </c>
      <c r="CH6" s="1">
        <v>57535</v>
      </c>
      <c r="CI6" s="1">
        <v>181324</v>
      </c>
      <c r="CJ6" s="1">
        <v>1899</v>
      </c>
      <c r="CK6" s="1">
        <v>1316</v>
      </c>
      <c r="CL6" s="1"/>
      <c r="CM6" s="1"/>
      <c r="CN6" s="1">
        <v>303</v>
      </c>
      <c r="CO6" s="1">
        <v>1232</v>
      </c>
      <c r="CP6" s="1">
        <v>84</v>
      </c>
      <c r="CQ6" s="1">
        <v>84</v>
      </c>
      <c r="CR6" s="1">
        <v>1512</v>
      </c>
      <c r="CS6" s="1">
        <v>0</v>
      </c>
      <c r="CT6" s="1"/>
      <c r="CU6" s="1"/>
      <c r="CV6" s="1"/>
      <c r="CW6" s="1"/>
      <c r="CX6" s="2">
        <v>39221704</v>
      </c>
      <c r="CY6" s="1">
        <v>34962397</v>
      </c>
      <c r="CZ6" s="1">
        <v>54394160</v>
      </c>
      <c r="DA6" s="1">
        <v>49133360</v>
      </c>
      <c r="DB6" s="1">
        <v>2747464</v>
      </c>
      <c r="DC6" s="1">
        <v>2747464</v>
      </c>
      <c r="DD6" s="1"/>
      <c r="DE6" s="1"/>
      <c r="DF6" s="1">
        <v>9133488</v>
      </c>
      <c r="DG6" s="1">
        <v>9101428</v>
      </c>
      <c r="DH6" s="1"/>
      <c r="DI6" s="1"/>
      <c r="DJ6" s="1">
        <v>-2026350</v>
      </c>
      <c r="DK6" s="1">
        <v>-4856219</v>
      </c>
      <c r="DL6" s="24">
        <v>9362</v>
      </c>
      <c r="DM6" s="24">
        <v>9362</v>
      </c>
      <c r="DN6" s="1"/>
      <c r="DO6" s="1"/>
      <c r="DP6" s="2">
        <v>9863964</v>
      </c>
      <c r="DQ6" s="1">
        <v>7002035</v>
      </c>
      <c r="DR6" s="2">
        <v>25423419</v>
      </c>
      <c r="DS6" s="1">
        <v>12437863</v>
      </c>
      <c r="DT6" s="1">
        <v>4632169</v>
      </c>
      <c r="DU6" s="1">
        <v>4457863</v>
      </c>
      <c r="DV6" s="1">
        <v>4632169</v>
      </c>
      <c r="DW6" s="1">
        <v>4457863</v>
      </c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>
        <v>20670000</v>
      </c>
      <c r="EK6" s="1">
        <v>7980000</v>
      </c>
      <c r="EL6" s="1">
        <v>121250</v>
      </c>
      <c r="EM6" s="1">
        <v>0</v>
      </c>
      <c r="EN6" s="1"/>
      <c r="EO6" s="1"/>
      <c r="EP6" s="2">
        <v>19106777</v>
      </c>
      <c r="EQ6" s="1">
        <v>29693462</v>
      </c>
      <c r="ER6" s="1">
        <v>14726777</v>
      </c>
      <c r="ES6" s="1">
        <v>29693462</v>
      </c>
      <c r="ET6" s="1"/>
      <c r="EU6" s="1"/>
      <c r="EV6" s="1">
        <v>12005655</v>
      </c>
      <c r="EW6" s="1">
        <v>18023530</v>
      </c>
      <c r="EX6" s="1"/>
      <c r="EY6" s="1"/>
      <c r="EZ6" s="1">
        <v>169210</v>
      </c>
      <c r="FA6" s="1">
        <v>0</v>
      </c>
      <c r="FB6" s="1"/>
      <c r="FC6" s="1"/>
      <c r="FD6" s="1"/>
      <c r="FE6" s="1"/>
      <c r="FF6" s="1"/>
      <c r="FG6" s="1"/>
      <c r="FH6" s="1">
        <v>518979</v>
      </c>
      <c r="FI6" s="1">
        <v>5060002</v>
      </c>
      <c r="FJ6" s="1">
        <v>94511</v>
      </c>
      <c r="FK6" s="1">
        <v>1260084</v>
      </c>
      <c r="FL6" s="1"/>
      <c r="FM6" s="1"/>
      <c r="FN6" s="1">
        <v>94118</v>
      </c>
      <c r="FO6" s="1">
        <v>168533</v>
      </c>
      <c r="FP6" s="1"/>
      <c r="FQ6" s="1"/>
      <c r="FR6" s="1">
        <v>1562043</v>
      </c>
      <c r="FS6" s="1">
        <v>1938283</v>
      </c>
      <c r="FT6" s="1">
        <v>4100000</v>
      </c>
      <c r="FU6" s="1">
        <v>0</v>
      </c>
      <c r="FV6" s="1">
        <v>280000</v>
      </c>
      <c r="FW6" s="1">
        <v>0</v>
      </c>
      <c r="FX6" s="1"/>
      <c r="FY6" s="1"/>
      <c r="FZ6" s="1">
        <v>282261</v>
      </c>
      <c r="GA6" s="1">
        <v>3243030</v>
      </c>
      <c r="GB6" s="1">
        <v>44530196</v>
      </c>
      <c r="GC6" s="1">
        <v>42131325</v>
      </c>
      <c r="GD6" s="1">
        <v>54394160</v>
      </c>
      <c r="GE6" s="1">
        <v>49133360</v>
      </c>
    </row>
    <row r="7" spans="1:187" s="3" customFormat="1" ht="12" x14ac:dyDescent="0.2">
      <c r="A7" s="1">
        <v>20006</v>
      </c>
      <c r="B7" s="1">
        <v>0</v>
      </c>
      <c r="C7" s="1">
        <v>200244553</v>
      </c>
      <c r="D7" s="1" t="s">
        <v>113</v>
      </c>
      <c r="E7" s="1">
        <v>3</v>
      </c>
      <c r="F7" s="1">
        <v>15</v>
      </c>
      <c r="G7" s="1">
        <v>0</v>
      </c>
      <c r="H7" s="1">
        <v>1</v>
      </c>
      <c r="I7" s="8">
        <v>2020</v>
      </c>
      <c r="J7" s="1">
        <v>4</v>
      </c>
      <c r="K7" s="1" t="s">
        <v>0</v>
      </c>
      <c r="L7" s="1">
        <v>1</v>
      </c>
      <c r="M7" s="1">
        <v>30</v>
      </c>
      <c r="N7" s="1">
        <v>0</v>
      </c>
      <c r="O7" s="1">
        <v>44247.949837962966</v>
      </c>
      <c r="P7" s="1">
        <v>23467083</v>
      </c>
      <c r="Q7" s="1">
        <v>26237285</v>
      </c>
      <c r="R7" s="1">
        <v>12688746</v>
      </c>
      <c r="S7" s="1">
        <v>13742606</v>
      </c>
      <c r="T7" s="1">
        <v>10778337</v>
      </c>
      <c r="U7" s="1">
        <v>12494679</v>
      </c>
      <c r="V7" s="1">
        <v>14000</v>
      </c>
      <c r="W7" s="1">
        <v>14000</v>
      </c>
      <c r="X7" s="1">
        <v>14000</v>
      </c>
      <c r="Y7" s="1">
        <v>14000</v>
      </c>
      <c r="Z7" s="1">
        <v>0</v>
      </c>
      <c r="AA7" s="1">
        <v>0</v>
      </c>
      <c r="AB7" s="1">
        <v>416606</v>
      </c>
      <c r="AC7" s="1">
        <v>414991</v>
      </c>
      <c r="AD7" s="1">
        <v>6615</v>
      </c>
      <c r="AE7" s="1">
        <v>5000</v>
      </c>
      <c r="AF7" s="1">
        <v>11000</v>
      </c>
      <c r="AG7" s="1">
        <v>11000</v>
      </c>
      <c r="AH7" s="1"/>
      <c r="AI7" s="1"/>
      <c r="AJ7" s="1"/>
      <c r="AK7" s="1"/>
      <c r="AL7" s="1">
        <v>398991</v>
      </c>
      <c r="AM7" s="1">
        <v>398991</v>
      </c>
      <c r="AN7" s="1"/>
      <c r="AO7" s="1"/>
      <c r="AP7" s="1">
        <v>2125</v>
      </c>
      <c r="AQ7" s="1"/>
      <c r="AR7" s="1">
        <v>1500404</v>
      </c>
      <c r="AS7" s="1">
        <v>2262786</v>
      </c>
      <c r="AT7" s="1"/>
      <c r="AU7" s="1"/>
      <c r="AV7" s="2">
        <v>12697472</v>
      </c>
      <c r="AW7" s="1">
        <v>15172456</v>
      </c>
      <c r="AX7" s="1">
        <v>21831719</v>
      </c>
      <c r="AY7" s="1">
        <v>24715469</v>
      </c>
      <c r="AZ7" s="1">
        <v>8580879</v>
      </c>
      <c r="BA7" s="1">
        <v>12313497</v>
      </c>
      <c r="BB7" s="1"/>
      <c r="BC7" s="1"/>
      <c r="BD7" s="1">
        <v>13250840</v>
      </c>
      <c r="BE7" s="1">
        <v>12401972</v>
      </c>
      <c r="BF7" s="1"/>
      <c r="BG7" s="1"/>
      <c r="BH7" s="1"/>
      <c r="BI7" s="1"/>
      <c r="BJ7" s="1">
        <v>920076</v>
      </c>
      <c r="BK7" s="1">
        <v>0</v>
      </c>
      <c r="BL7" s="1">
        <v>9060302</v>
      </c>
      <c r="BM7" s="1">
        <v>14504336</v>
      </c>
      <c r="BN7" s="1"/>
      <c r="BO7" s="1"/>
      <c r="BP7" s="1">
        <v>1454162</v>
      </c>
      <c r="BQ7" s="1">
        <v>1929624</v>
      </c>
      <c r="BR7" s="1"/>
      <c r="BS7" s="1"/>
      <c r="BT7" s="1"/>
      <c r="BU7" s="1"/>
      <c r="BV7" s="1"/>
      <c r="BW7" s="1"/>
      <c r="BX7" s="1">
        <v>6044188</v>
      </c>
      <c r="BY7" s="1">
        <v>10920306</v>
      </c>
      <c r="BZ7" s="1">
        <v>1318393</v>
      </c>
      <c r="CA7" s="1">
        <v>1578988</v>
      </c>
      <c r="CB7" s="1">
        <v>5</v>
      </c>
      <c r="CC7" s="1">
        <v>5</v>
      </c>
      <c r="CD7" s="1"/>
      <c r="CE7" s="1"/>
      <c r="CF7" s="1">
        <v>51757</v>
      </c>
      <c r="CG7" s="1">
        <v>17878</v>
      </c>
      <c r="CH7" s="1">
        <v>191797</v>
      </c>
      <c r="CI7" s="1">
        <v>57535</v>
      </c>
      <c r="CJ7" s="1">
        <v>4114</v>
      </c>
      <c r="CK7" s="1">
        <v>1899</v>
      </c>
      <c r="CL7" s="1"/>
      <c r="CM7" s="1"/>
      <c r="CN7" s="1">
        <v>496</v>
      </c>
      <c r="CO7" s="1">
        <v>303</v>
      </c>
      <c r="CP7" s="1">
        <v>76</v>
      </c>
      <c r="CQ7" s="1">
        <v>84</v>
      </c>
      <c r="CR7" s="1">
        <v>3542</v>
      </c>
      <c r="CS7" s="1">
        <v>1512</v>
      </c>
      <c r="CT7" s="1">
        <v>68000</v>
      </c>
      <c r="CU7" s="1">
        <v>0</v>
      </c>
      <c r="CV7" s="1"/>
      <c r="CW7" s="1"/>
      <c r="CX7" s="2">
        <v>31884211</v>
      </c>
      <c r="CY7" s="1">
        <v>39221704</v>
      </c>
      <c r="CZ7" s="1">
        <v>44581683</v>
      </c>
      <c r="DA7" s="1">
        <v>54394160</v>
      </c>
      <c r="DB7" s="1">
        <v>2747464</v>
      </c>
      <c r="DC7" s="1">
        <v>2747464</v>
      </c>
      <c r="DD7" s="1"/>
      <c r="DE7" s="1"/>
      <c r="DF7" s="1">
        <v>6072144</v>
      </c>
      <c r="DG7" s="1">
        <v>9133488</v>
      </c>
      <c r="DH7" s="1"/>
      <c r="DI7" s="1"/>
      <c r="DJ7" s="1">
        <v>4289308</v>
      </c>
      <c r="DK7" s="1">
        <v>-2026350</v>
      </c>
      <c r="DL7" s="24"/>
      <c r="DM7" s="24">
        <v>9362</v>
      </c>
      <c r="DN7" s="1"/>
      <c r="DO7" s="1"/>
      <c r="DP7" s="2">
        <v>13108916</v>
      </c>
      <c r="DQ7" s="1">
        <v>9863964</v>
      </c>
      <c r="DR7" s="2">
        <v>5170448</v>
      </c>
      <c r="DS7" s="1">
        <v>25423419</v>
      </c>
      <c r="DT7" s="1">
        <v>5049198</v>
      </c>
      <c r="DU7" s="1">
        <v>4632169</v>
      </c>
      <c r="DV7" s="1">
        <v>5049198</v>
      </c>
      <c r="DW7" s="1">
        <v>4632169</v>
      </c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>
        <v>20670000</v>
      </c>
      <c r="EL7" s="1">
        <v>121250</v>
      </c>
      <c r="EM7" s="1">
        <v>121250</v>
      </c>
      <c r="EN7" s="1"/>
      <c r="EO7" s="1"/>
      <c r="EP7" s="2">
        <v>26302319</v>
      </c>
      <c r="EQ7" s="1">
        <v>19106777</v>
      </c>
      <c r="ER7" s="1">
        <v>5272319</v>
      </c>
      <c r="ES7" s="1">
        <v>14726777</v>
      </c>
      <c r="ET7" s="1"/>
      <c r="EU7" s="1"/>
      <c r="EV7" s="1">
        <v>3282688</v>
      </c>
      <c r="EW7" s="1">
        <v>12005655</v>
      </c>
      <c r="EX7" s="1"/>
      <c r="EY7" s="1"/>
      <c r="EZ7" s="1">
        <v>110397</v>
      </c>
      <c r="FA7" s="1">
        <v>169210</v>
      </c>
      <c r="FB7" s="1"/>
      <c r="FC7" s="1"/>
      <c r="FD7" s="1"/>
      <c r="FE7" s="1"/>
      <c r="FF7" s="1"/>
      <c r="FG7" s="1"/>
      <c r="FH7" s="1">
        <v>538362</v>
      </c>
      <c r="FI7" s="1">
        <v>518979</v>
      </c>
      <c r="FJ7" s="1">
        <v>9640</v>
      </c>
      <c r="FK7" s="1">
        <v>94511</v>
      </c>
      <c r="FL7" s="1"/>
      <c r="FM7" s="1"/>
      <c r="FN7" s="1">
        <v>159000</v>
      </c>
      <c r="FO7" s="1">
        <v>94118</v>
      </c>
      <c r="FP7" s="1"/>
      <c r="FQ7" s="1"/>
      <c r="FR7" s="1">
        <v>827737</v>
      </c>
      <c r="FS7" s="1">
        <v>1562043</v>
      </c>
      <c r="FT7" s="1">
        <v>20750000</v>
      </c>
      <c r="FU7" s="1">
        <v>4100000</v>
      </c>
      <c r="FV7" s="1">
        <v>280000</v>
      </c>
      <c r="FW7" s="1">
        <v>280000</v>
      </c>
      <c r="FX7" s="1"/>
      <c r="FY7" s="1"/>
      <c r="FZ7" s="1">
        <v>344495</v>
      </c>
      <c r="GA7" s="1">
        <v>282261</v>
      </c>
      <c r="GB7" s="1">
        <v>31472767</v>
      </c>
      <c r="GC7" s="1">
        <v>44530196</v>
      </c>
      <c r="GD7" s="1">
        <v>44581683</v>
      </c>
      <c r="GE7" s="1">
        <v>54394160</v>
      </c>
    </row>
    <row r="8" spans="1:187" s="3" customFormat="1" ht="12" x14ac:dyDescent="0.2">
      <c r="A8" s="1">
        <v>20006</v>
      </c>
      <c r="B8" s="1">
        <v>0</v>
      </c>
      <c r="C8" s="1">
        <v>200244553</v>
      </c>
      <c r="D8" s="1" t="s">
        <v>113</v>
      </c>
      <c r="E8" s="1">
        <v>3</v>
      </c>
      <c r="F8" s="1">
        <v>15</v>
      </c>
      <c r="G8" s="1">
        <v>0</v>
      </c>
      <c r="H8" s="1">
        <v>1</v>
      </c>
      <c r="I8" s="8">
        <v>2019</v>
      </c>
      <c r="J8" s="1">
        <v>4</v>
      </c>
      <c r="K8" s="1" t="s">
        <v>0</v>
      </c>
      <c r="L8" s="1">
        <v>2</v>
      </c>
      <c r="M8" s="1">
        <v>30</v>
      </c>
      <c r="N8" s="1">
        <v>0</v>
      </c>
      <c r="O8" s="1">
        <v>43885.465902777774</v>
      </c>
      <c r="P8" s="1">
        <v>19883971</v>
      </c>
      <c r="Q8" s="1">
        <v>22051424</v>
      </c>
      <c r="R8" s="1">
        <v>11044042</v>
      </c>
      <c r="S8" s="1">
        <v>11949849</v>
      </c>
      <c r="T8" s="1">
        <v>8839929</v>
      </c>
      <c r="U8" s="1">
        <v>10101575</v>
      </c>
      <c r="V8" s="1">
        <v>14000</v>
      </c>
      <c r="W8" s="1">
        <v>14000</v>
      </c>
      <c r="X8" s="1">
        <v>14000</v>
      </c>
      <c r="Y8" s="1">
        <v>14000</v>
      </c>
      <c r="Z8" s="1">
        <v>0</v>
      </c>
      <c r="AA8" s="1">
        <v>0</v>
      </c>
      <c r="AB8" s="1">
        <v>385927</v>
      </c>
      <c r="AC8" s="1">
        <v>416606</v>
      </c>
      <c r="AD8" s="1">
        <v>6615</v>
      </c>
      <c r="AE8" s="1">
        <v>6615</v>
      </c>
      <c r="AF8" s="1">
        <v>11000</v>
      </c>
      <c r="AG8" s="1">
        <v>11000</v>
      </c>
      <c r="AH8" s="1"/>
      <c r="AI8" s="1"/>
      <c r="AJ8" s="1"/>
      <c r="AK8" s="1"/>
      <c r="AL8" s="1">
        <v>368312</v>
      </c>
      <c r="AM8" s="1">
        <v>398991</v>
      </c>
      <c r="AN8" s="1"/>
      <c r="AO8" s="1"/>
      <c r="AP8" s="1">
        <v>1097442</v>
      </c>
      <c r="AQ8" s="1">
        <v>2125</v>
      </c>
      <c r="AR8" s="1">
        <v>1254566</v>
      </c>
      <c r="AS8" s="1">
        <v>1500404</v>
      </c>
      <c r="AT8" s="1"/>
      <c r="AU8" s="1"/>
      <c r="AV8" s="2">
        <v>11577864</v>
      </c>
      <c r="AW8" s="1">
        <v>12020710</v>
      </c>
      <c r="AX8" s="1">
        <v>15470495</v>
      </c>
      <c r="AY8" s="1">
        <v>21831719</v>
      </c>
      <c r="AZ8" s="1">
        <v>9366375</v>
      </c>
      <c r="BA8" s="1">
        <v>8580879</v>
      </c>
      <c r="BB8" s="1"/>
      <c r="BC8" s="1"/>
      <c r="BD8" s="1">
        <v>6104120</v>
      </c>
      <c r="BE8" s="1">
        <v>13250840</v>
      </c>
      <c r="BF8" s="1"/>
      <c r="BG8" s="1"/>
      <c r="BH8" s="1">
        <v>4000</v>
      </c>
      <c r="BI8" s="1">
        <v>0</v>
      </c>
      <c r="BJ8" s="1">
        <v>1236408</v>
      </c>
      <c r="BK8" s="1">
        <v>920076</v>
      </c>
      <c r="BL8" s="1">
        <v>8323255</v>
      </c>
      <c r="BM8" s="1">
        <v>9060302</v>
      </c>
      <c r="BN8" s="1"/>
      <c r="BO8" s="1"/>
      <c r="BP8" s="1">
        <v>322830</v>
      </c>
      <c r="BQ8" s="1">
        <v>1454162</v>
      </c>
      <c r="BR8" s="1"/>
      <c r="BS8" s="1"/>
      <c r="BT8" s="1"/>
      <c r="BU8" s="1"/>
      <c r="BV8" s="1"/>
      <c r="BW8" s="1"/>
      <c r="BX8" s="1">
        <v>7279458</v>
      </c>
      <c r="BY8" s="1">
        <v>6044188</v>
      </c>
      <c r="BZ8" s="1">
        <v>556009</v>
      </c>
      <c r="CA8" s="1">
        <v>1318393</v>
      </c>
      <c r="CB8" s="1">
        <v>5</v>
      </c>
      <c r="CC8" s="1">
        <v>5</v>
      </c>
      <c r="CD8" s="1"/>
      <c r="CE8" s="1"/>
      <c r="CF8" s="1">
        <v>80921</v>
      </c>
      <c r="CG8" s="1">
        <v>51757</v>
      </c>
      <c r="CH8" s="1">
        <v>84032</v>
      </c>
      <c r="CI8" s="1">
        <v>191797</v>
      </c>
      <c r="CJ8" s="1">
        <v>1880557</v>
      </c>
      <c r="CK8" s="1">
        <v>4114</v>
      </c>
      <c r="CL8" s="1"/>
      <c r="CM8" s="1"/>
      <c r="CN8" s="1">
        <v>3488</v>
      </c>
      <c r="CO8" s="1">
        <v>496</v>
      </c>
      <c r="CP8" s="1">
        <v>270791</v>
      </c>
      <c r="CQ8" s="1">
        <v>76</v>
      </c>
      <c r="CR8" s="1">
        <v>1606278</v>
      </c>
      <c r="CS8" s="1">
        <v>3542</v>
      </c>
      <c r="CT8" s="1">
        <v>1000000</v>
      </c>
      <c r="CU8" s="1">
        <v>68000</v>
      </c>
      <c r="CV8" s="1"/>
      <c r="CW8" s="1"/>
      <c r="CX8" s="2">
        <v>27914715</v>
      </c>
      <c r="CY8" s="1">
        <v>31884211</v>
      </c>
      <c r="CZ8" s="1">
        <v>39492579</v>
      </c>
      <c r="DA8" s="1">
        <v>43904921</v>
      </c>
      <c r="DB8" s="1">
        <v>2747464</v>
      </c>
      <c r="DC8" s="1">
        <v>2747464</v>
      </c>
      <c r="DD8" s="1"/>
      <c r="DE8" s="1"/>
      <c r="DF8" s="1">
        <v>5423139</v>
      </c>
      <c r="DG8" s="1">
        <v>5395382</v>
      </c>
      <c r="DH8" s="1"/>
      <c r="DI8" s="1"/>
      <c r="DJ8" s="1">
        <v>3907136</v>
      </c>
      <c r="DK8" s="1">
        <v>4289308</v>
      </c>
      <c r="DL8" s="24">
        <v>916348</v>
      </c>
      <c r="DM8" s="24"/>
      <c r="DN8" s="1">
        <v>600000</v>
      </c>
      <c r="DO8" s="1"/>
      <c r="DP8" s="2">
        <v>13594087</v>
      </c>
      <c r="DQ8" s="1">
        <v>12432154</v>
      </c>
      <c r="DR8" s="2">
        <v>4798669</v>
      </c>
      <c r="DS8" s="1">
        <v>5170448</v>
      </c>
      <c r="DT8" s="1">
        <v>4677419</v>
      </c>
      <c r="DU8" s="1">
        <v>5049198</v>
      </c>
      <c r="DV8" s="1">
        <v>4677419</v>
      </c>
      <c r="DW8" s="1">
        <v>5049198</v>
      </c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>
        <v>121250</v>
      </c>
      <c r="EM8" s="1">
        <v>121250</v>
      </c>
      <c r="EN8" s="1"/>
      <c r="EO8" s="1"/>
      <c r="EP8" s="2">
        <v>21099823</v>
      </c>
      <c r="EQ8" s="1">
        <v>26302319</v>
      </c>
      <c r="ER8" s="1">
        <v>4045823</v>
      </c>
      <c r="ES8" s="1">
        <v>5272319</v>
      </c>
      <c r="ET8" s="1"/>
      <c r="EU8" s="1"/>
      <c r="EV8" s="1">
        <v>2403040</v>
      </c>
      <c r="EW8" s="1">
        <v>3282688</v>
      </c>
      <c r="EX8" s="1"/>
      <c r="EY8" s="1"/>
      <c r="EZ8" s="1"/>
      <c r="FA8" s="1">
        <v>110397</v>
      </c>
      <c r="FB8" s="1"/>
      <c r="FC8" s="1"/>
      <c r="FD8" s="1"/>
      <c r="FE8" s="1"/>
      <c r="FF8" s="1"/>
      <c r="FG8" s="1"/>
      <c r="FH8" s="1">
        <v>9486</v>
      </c>
      <c r="FI8" s="1">
        <v>538362</v>
      </c>
      <c r="FJ8" s="1">
        <v>64260</v>
      </c>
      <c r="FK8" s="1">
        <v>9640</v>
      </c>
      <c r="FL8" s="1"/>
      <c r="FM8" s="1"/>
      <c r="FN8" s="1">
        <v>732175</v>
      </c>
      <c r="FO8" s="1">
        <v>159000</v>
      </c>
      <c r="FP8" s="1"/>
      <c r="FQ8" s="1"/>
      <c r="FR8" s="1">
        <v>579228</v>
      </c>
      <c r="FS8" s="1">
        <v>827737</v>
      </c>
      <c r="FT8" s="1">
        <v>17054000</v>
      </c>
      <c r="FU8" s="1">
        <v>20750000</v>
      </c>
      <c r="FV8" s="1"/>
      <c r="FW8" s="1">
        <v>280000</v>
      </c>
      <c r="FX8" s="1"/>
      <c r="FY8" s="1"/>
      <c r="FZ8" s="1">
        <v>257634</v>
      </c>
      <c r="GA8" s="1">
        <v>344495</v>
      </c>
      <c r="GB8" s="1">
        <v>25898492</v>
      </c>
      <c r="GC8" s="1">
        <v>31472767</v>
      </c>
      <c r="GD8" s="1">
        <v>39492579</v>
      </c>
      <c r="GE8" s="1">
        <v>43904921</v>
      </c>
    </row>
    <row r="9" spans="1:187" s="3" customFormat="1" x14ac:dyDescent="0.25">
      <c r="A9" s="1">
        <v>20006</v>
      </c>
      <c r="B9" s="1">
        <v>0</v>
      </c>
      <c r="C9" s="3">
        <v>200244553</v>
      </c>
      <c r="D9" s="8" t="s">
        <v>113</v>
      </c>
      <c r="E9" s="4">
        <v>3</v>
      </c>
      <c r="F9" s="4">
        <v>15</v>
      </c>
      <c r="G9" s="4">
        <v>0</v>
      </c>
      <c r="H9" s="4">
        <v>1</v>
      </c>
      <c r="I9" s="8">
        <v>2018</v>
      </c>
      <c r="J9" s="1">
        <v>4</v>
      </c>
      <c r="K9" s="3" t="s">
        <v>0</v>
      </c>
      <c r="L9" s="1">
        <v>1</v>
      </c>
      <c r="M9" s="1">
        <v>30</v>
      </c>
      <c r="N9" s="5">
        <v>0</v>
      </c>
      <c r="O9" s="6">
        <v>43507.649305555555</v>
      </c>
      <c r="P9" s="1">
        <v>17272650</v>
      </c>
      <c r="Q9" s="1">
        <v>18767080</v>
      </c>
      <c r="R9" s="1">
        <v>9449550</v>
      </c>
      <c r="S9" s="1">
        <v>10437463</v>
      </c>
      <c r="T9" s="1">
        <v>7823100</v>
      </c>
      <c r="U9" s="1">
        <v>8329617</v>
      </c>
      <c r="V9" s="1">
        <v>14000</v>
      </c>
      <c r="W9" s="1">
        <v>14000</v>
      </c>
      <c r="X9" s="1">
        <v>14000</v>
      </c>
      <c r="Y9" s="1">
        <v>14000</v>
      </c>
      <c r="Z9" s="1">
        <v>0</v>
      </c>
      <c r="AA9" s="1">
        <v>0</v>
      </c>
      <c r="AB9" s="1">
        <v>432177</v>
      </c>
      <c r="AC9" s="1">
        <v>385927</v>
      </c>
      <c r="AD9" s="1">
        <v>6615</v>
      </c>
      <c r="AE9" s="1">
        <v>6615</v>
      </c>
      <c r="AF9" s="1">
        <v>11000</v>
      </c>
      <c r="AG9" s="1">
        <v>11000</v>
      </c>
      <c r="AH9" s="1"/>
      <c r="AI9" s="1"/>
      <c r="AJ9" s="1"/>
      <c r="AK9" s="1"/>
      <c r="AL9" s="1">
        <v>414562</v>
      </c>
      <c r="AM9" s="1">
        <v>368312</v>
      </c>
      <c r="AN9" s="1"/>
      <c r="AO9" s="1"/>
      <c r="AP9" s="1">
        <v>27975</v>
      </c>
      <c r="AQ9" s="1">
        <v>1097442</v>
      </c>
      <c r="AR9" s="1">
        <v>949618</v>
      </c>
      <c r="AS9" s="1">
        <v>1254566</v>
      </c>
      <c r="AT9" s="1"/>
      <c r="AU9" s="1"/>
      <c r="AV9" s="2">
        <v>9232870</v>
      </c>
      <c r="AW9" s="1">
        <v>11067552</v>
      </c>
      <c r="AX9" s="1">
        <v>6116393</v>
      </c>
      <c r="AY9" s="1">
        <v>15470495</v>
      </c>
      <c r="AZ9" s="1">
        <v>4115249</v>
      </c>
      <c r="BA9" s="1">
        <v>9366375</v>
      </c>
      <c r="BB9" s="1"/>
      <c r="BC9" s="1"/>
      <c r="BD9" s="1">
        <v>2001144</v>
      </c>
      <c r="BE9" s="1">
        <v>6104120</v>
      </c>
      <c r="BF9" s="1"/>
      <c r="BG9" s="1"/>
      <c r="BH9" s="1">
        <v>16525</v>
      </c>
      <c r="BI9" s="1">
        <v>4000</v>
      </c>
      <c r="BJ9" s="1">
        <v>2627728</v>
      </c>
      <c r="BK9" s="1">
        <v>1236408</v>
      </c>
      <c r="BL9" s="1">
        <v>4462160</v>
      </c>
      <c r="BM9" s="1">
        <v>8323255</v>
      </c>
      <c r="BN9" s="1"/>
      <c r="BO9" s="1"/>
      <c r="BP9" s="1">
        <v>20911</v>
      </c>
      <c r="BQ9" s="1">
        <v>322830</v>
      </c>
      <c r="BR9" s="1"/>
      <c r="BS9" s="1"/>
      <c r="BT9" s="1"/>
      <c r="BU9" s="1"/>
      <c r="BV9" s="1"/>
      <c r="BW9" s="1"/>
      <c r="BX9" s="1">
        <v>4150542</v>
      </c>
      <c r="BY9" s="1">
        <v>7279458</v>
      </c>
      <c r="BZ9" s="1">
        <v>82796</v>
      </c>
      <c r="CA9" s="1">
        <v>556009</v>
      </c>
      <c r="CB9" s="1">
        <v>0</v>
      </c>
      <c r="CC9" s="1">
        <v>5</v>
      </c>
      <c r="CD9" s="1"/>
      <c r="CE9" s="1"/>
      <c r="CF9" s="1">
        <v>56670</v>
      </c>
      <c r="CG9" s="1">
        <v>80921</v>
      </c>
      <c r="CH9" s="1">
        <v>151241</v>
      </c>
      <c r="CI9" s="1">
        <v>84032</v>
      </c>
      <c r="CJ9" s="1">
        <v>337865</v>
      </c>
      <c r="CK9" s="1">
        <v>1880557</v>
      </c>
      <c r="CL9" s="1"/>
      <c r="CM9" s="1"/>
      <c r="CN9" s="1">
        <v>244633</v>
      </c>
      <c r="CO9" s="1">
        <v>3488</v>
      </c>
      <c r="CP9" s="1"/>
      <c r="CQ9" s="1">
        <v>270791</v>
      </c>
      <c r="CR9" s="1">
        <v>93232</v>
      </c>
      <c r="CS9" s="1">
        <v>1606278</v>
      </c>
      <c r="CT9" s="1"/>
      <c r="CU9" s="1">
        <v>1000000</v>
      </c>
      <c r="CV9" s="1"/>
      <c r="CW9" s="1"/>
      <c r="CX9" s="2">
        <v>13560671</v>
      </c>
      <c r="CY9" s="1">
        <v>27914715</v>
      </c>
      <c r="CZ9" s="1">
        <v>22793541</v>
      </c>
      <c r="DA9" s="1">
        <v>38982267</v>
      </c>
      <c r="DB9" s="1">
        <v>2747464</v>
      </c>
      <c r="DC9" s="1">
        <v>2747464</v>
      </c>
      <c r="DD9" s="1"/>
      <c r="DE9" s="1"/>
      <c r="DF9" s="1">
        <v>4860058</v>
      </c>
      <c r="DG9" s="1">
        <v>4912827</v>
      </c>
      <c r="DH9" s="1"/>
      <c r="DI9" s="1"/>
      <c r="DJ9" s="1">
        <v>2055379</v>
      </c>
      <c r="DK9" s="1">
        <v>3907136</v>
      </c>
      <c r="DL9" s="24">
        <v>916348</v>
      </c>
      <c r="DM9" s="24">
        <v>916348</v>
      </c>
      <c r="DN9" s="1"/>
      <c r="DO9" s="1">
        <v>600000</v>
      </c>
      <c r="DP9" s="2">
        <v>10579249</v>
      </c>
      <c r="DQ9" s="1">
        <v>13083775</v>
      </c>
      <c r="DR9" s="2">
        <v>5549671</v>
      </c>
      <c r="DS9" s="1">
        <v>4798669</v>
      </c>
      <c r="DT9" s="1">
        <v>5307171</v>
      </c>
      <c r="DU9" s="1">
        <v>4677419</v>
      </c>
      <c r="DV9" s="1">
        <v>5307171</v>
      </c>
      <c r="DW9" s="1">
        <v>4677419</v>
      </c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>
        <v>242500</v>
      </c>
      <c r="EM9" s="1">
        <v>121250</v>
      </c>
      <c r="EN9" s="1"/>
      <c r="EO9" s="1"/>
      <c r="EP9" s="2">
        <v>6664621</v>
      </c>
      <c r="EQ9" s="1">
        <v>21099823</v>
      </c>
      <c r="ER9" s="1">
        <v>5210621</v>
      </c>
      <c r="ES9" s="1">
        <v>4045823</v>
      </c>
      <c r="ET9" s="1"/>
      <c r="EU9" s="1"/>
      <c r="EV9" s="1">
        <v>2394477</v>
      </c>
      <c r="EW9" s="1">
        <v>2403040</v>
      </c>
      <c r="EX9" s="1"/>
      <c r="EY9" s="1"/>
      <c r="EZ9" s="1"/>
      <c r="FA9" s="1"/>
      <c r="FB9" s="1"/>
      <c r="FC9" s="1"/>
      <c r="FD9" s="1"/>
      <c r="FE9" s="1"/>
      <c r="FF9" s="1"/>
      <c r="FG9" s="1"/>
      <c r="FH9" s="1">
        <v>375662</v>
      </c>
      <c r="FI9" s="1">
        <v>9486</v>
      </c>
      <c r="FJ9" s="1">
        <v>998758</v>
      </c>
      <c r="FK9" s="1">
        <v>64260</v>
      </c>
      <c r="FL9" s="1"/>
      <c r="FM9" s="1"/>
      <c r="FN9" s="1">
        <v>541012</v>
      </c>
      <c r="FO9" s="1">
        <v>732175</v>
      </c>
      <c r="FP9" s="1"/>
      <c r="FQ9" s="1"/>
      <c r="FR9" s="1">
        <v>360536</v>
      </c>
      <c r="FS9" s="1">
        <v>579228</v>
      </c>
      <c r="FT9" s="1">
        <v>1454000</v>
      </c>
      <c r="FU9" s="1">
        <v>17054000</v>
      </c>
      <c r="FV9" s="1"/>
      <c r="FW9" s="1"/>
      <c r="FX9" s="1"/>
      <c r="FY9" s="1"/>
      <c r="FZ9" s="1">
        <v>540176</v>
      </c>
      <c r="GA9" s="1">
        <v>257634</v>
      </c>
      <c r="GB9" s="1">
        <v>12214292</v>
      </c>
      <c r="GC9" s="1">
        <v>25898492</v>
      </c>
      <c r="GD9" s="1">
        <v>22793541</v>
      </c>
      <c r="GE9" s="1">
        <v>38982267</v>
      </c>
    </row>
    <row r="10" spans="1:187" s="3" customFormat="1" ht="12" x14ac:dyDescent="0.2">
      <c r="A10" s="1">
        <v>20006</v>
      </c>
      <c r="B10" s="1">
        <v>0</v>
      </c>
      <c r="C10" s="1">
        <v>200323067</v>
      </c>
      <c r="D10" s="1" t="s">
        <v>114</v>
      </c>
      <c r="E10" s="1">
        <v>24</v>
      </c>
      <c r="F10" s="1">
        <v>10</v>
      </c>
      <c r="G10" s="1">
        <v>2</v>
      </c>
      <c r="H10" s="1">
        <v>1</v>
      </c>
      <c r="I10" s="8">
        <v>2021</v>
      </c>
      <c r="J10" s="1">
        <v>4</v>
      </c>
      <c r="K10" s="1" t="s">
        <v>0</v>
      </c>
      <c r="L10" s="1">
        <v>2</v>
      </c>
      <c r="M10" s="1">
        <v>30</v>
      </c>
      <c r="N10" s="1">
        <v>0</v>
      </c>
      <c r="O10" s="1">
        <v>44621.62295138889</v>
      </c>
      <c r="P10" s="1">
        <v>22697474</v>
      </c>
      <c r="Q10" s="1">
        <v>23314015</v>
      </c>
      <c r="R10" s="1">
        <v>16631362</v>
      </c>
      <c r="S10" s="1">
        <v>18409072</v>
      </c>
      <c r="T10" s="1">
        <v>6066112</v>
      </c>
      <c r="U10" s="1">
        <v>4904943</v>
      </c>
      <c r="V10" s="1"/>
      <c r="W10" s="1"/>
      <c r="X10" s="1"/>
      <c r="Y10" s="1"/>
      <c r="Z10" s="1">
        <v>0</v>
      </c>
      <c r="AA10" s="1"/>
      <c r="AB10" s="1">
        <v>546150</v>
      </c>
      <c r="AC10" s="1">
        <v>546150</v>
      </c>
      <c r="AD10" s="1">
        <v>51</v>
      </c>
      <c r="AE10" s="1">
        <v>51</v>
      </c>
      <c r="AF10" s="1">
        <v>546099</v>
      </c>
      <c r="AG10" s="1">
        <v>546099</v>
      </c>
      <c r="AH10" s="1"/>
      <c r="AI10" s="1"/>
      <c r="AJ10" s="1"/>
      <c r="AK10" s="1"/>
      <c r="AL10" s="1"/>
      <c r="AM10" s="1"/>
      <c r="AN10" s="1">
        <v>53751</v>
      </c>
      <c r="AO10" s="1">
        <v>53751</v>
      </c>
      <c r="AP10" s="1">
        <v>3728002</v>
      </c>
      <c r="AQ10" s="1">
        <v>3728002</v>
      </c>
      <c r="AR10" s="1">
        <v>1332940</v>
      </c>
      <c r="AS10" s="1">
        <v>1477780</v>
      </c>
      <c r="AT10" s="1"/>
      <c r="AU10" s="1"/>
      <c r="AV10" s="2">
        <v>11726955</v>
      </c>
      <c r="AW10" s="1">
        <v>10710626</v>
      </c>
      <c r="AX10" s="1">
        <v>14952895</v>
      </c>
      <c r="AY10" s="1">
        <v>11699951</v>
      </c>
      <c r="AZ10" s="1">
        <v>8992752</v>
      </c>
      <c r="BA10" s="1">
        <v>7054057</v>
      </c>
      <c r="BB10" s="1">
        <v>4766559</v>
      </c>
      <c r="BC10" s="1">
        <v>4480498</v>
      </c>
      <c r="BD10" s="1">
        <v>1029495</v>
      </c>
      <c r="BE10" s="1">
        <v>1307</v>
      </c>
      <c r="BF10" s="1">
        <v>164089</v>
      </c>
      <c r="BG10" s="1">
        <v>164089</v>
      </c>
      <c r="BH10" s="1">
        <v>13719893</v>
      </c>
      <c r="BI10" s="1">
        <v>13719893</v>
      </c>
      <c r="BJ10" s="1">
        <v>26217392</v>
      </c>
      <c r="BK10" s="1">
        <v>26217392</v>
      </c>
      <c r="BL10" s="1">
        <v>29634491</v>
      </c>
      <c r="BM10" s="1">
        <v>12793429</v>
      </c>
      <c r="BN10" s="1"/>
      <c r="BO10" s="1"/>
      <c r="BP10" s="1">
        <v>1403961</v>
      </c>
      <c r="BQ10" s="1">
        <v>1795605</v>
      </c>
      <c r="BR10" s="1"/>
      <c r="BS10" s="1"/>
      <c r="BT10" s="1">
        <v>363</v>
      </c>
      <c r="BU10" s="1">
        <v>363</v>
      </c>
      <c r="BV10" s="1">
        <v>40039</v>
      </c>
      <c r="BW10" s="1">
        <v>85478</v>
      </c>
      <c r="BX10" s="1">
        <v>22863454</v>
      </c>
      <c r="BY10" s="1">
        <v>5200106</v>
      </c>
      <c r="BZ10" s="1">
        <v>933770</v>
      </c>
      <c r="CA10" s="1">
        <v>1363617</v>
      </c>
      <c r="CB10" s="1"/>
      <c r="CC10" s="1">
        <v>164050</v>
      </c>
      <c r="CD10" s="1"/>
      <c r="CE10" s="1"/>
      <c r="CF10" s="1">
        <v>164608</v>
      </c>
      <c r="CG10" s="1">
        <v>101246</v>
      </c>
      <c r="CH10" s="1">
        <v>4228296</v>
      </c>
      <c r="CI10" s="1">
        <v>4082964</v>
      </c>
      <c r="CJ10" s="1">
        <v>14758</v>
      </c>
      <c r="CK10" s="1">
        <v>10295</v>
      </c>
      <c r="CL10" s="1"/>
      <c r="CM10" s="1"/>
      <c r="CN10" s="1">
        <v>14106</v>
      </c>
      <c r="CO10" s="1">
        <v>9643</v>
      </c>
      <c r="CP10" s="1">
        <v>652</v>
      </c>
      <c r="CQ10" s="1">
        <v>652</v>
      </c>
      <c r="CR10" s="1"/>
      <c r="CS10" s="1"/>
      <c r="CT10" s="1"/>
      <c r="CU10" s="1"/>
      <c r="CV10" s="1">
        <v>23346</v>
      </c>
      <c r="CW10" s="1">
        <v>23346</v>
      </c>
      <c r="CX10" s="2">
        <v>84562775</v>
      </c>
      <c r="CY10" s="1">
        <v>64464306</v>
      </c>
      <c r="CZ10" s="1">
        <v>96289730</v>
      </c>
      <c r="DA10" s="1">
        <v>75174932</v>
      </c>
      <c r="DB10" s="1">
        <v>986966</v>
      </c>
      <c r="DC10" s="1">
        <v>986966</v>
      </c>
      <c r="DD10" s="1">
        <v>993961</v>
      </c>
      <c r="DE10" s="1">
        <v>993961</v>
      </c>
      <c r="DF10" s="1">
        <v>5697194</v>
      </c>
      <c r="DG10" s="1">
        <v>5904769</v>
      </c>
      <c r="DH10" s="1"/>
      <c r="DI10" s="1"/>
      <c r="DJ10" s="1">
        <v>44889</v>
      </c>
      <c r="DK10" s="1">
        <v>-7028738</v>
      </c>
      <c r="DL10" s="24"/>
      <c r="DM10" s="24"/>
      <c r="DN10" s="1"/>
      <c r="DO10" s="1"/>
      <c r="DP10" s="2">
        <v>7723010</v>
      </c>
      <c r="DQ10" s="1">
        <v>856958</v>
      </c>
      <c r="DR10" s="2">
        <v>29814057</v>
      </c>
      <c r="DS10" s="1">
        <v>29814057</v>
      </c>
      <c r="DT10" s="1">
        <v>4375439</v>
      </c>
      <c r="DU10" s="1">
        <v>4375439</v>
      </c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>
        <v>25438618</v>
      </c>
      <c r="EM10" s="1">
        <v>25438618</v>
      </c>
      <c r="EN10" s="1">
        <v>4375439</v>
      </c>
      <c r="EO10" s="1">
        <v>4375439</v>
      </c>
      <c r="EP10" s="2">
        <v>58752663</v>
      </c>
      <c r="EQ10" s="1">
        <v>44503917</v>
      </c>
      <c r="ER10" s="1">
        <v>16968384</v>
      </c>
      <c r="ES10" s="1">
        <v>15818850</v>
      </c>
      <c r="ET10" s="1"/>
      <c r="EU10" s="1"/>
      <c r="EV10" s="1">
        <v>1154824</v>
      </c>
      <c r="EW10" s="1">
        <v>1381522</v>
      </c>
      <c r="EX10" s="1"/>
      <c r="EY10" s="1"/>
      <c r="EZ10" s="1"/>
      <c r="FA10" s="1"/>
      <c r="FB10" s="1">
        <v>1220261</v>
      </c>
      <c r="FC10" s="1">
        <v>1220261</v>
      </c>
      <c r="FD10" s="1"/>
      <c r="FE10" s="1"/>
      <c r="FF10" s="1"/>
      <c r="FG10" s="1"/>
      <c r="FH10" s="1">
        <v>7371399</v>
      </c>
      <c r="FI10" s="1">
        <v>1058361</v>
      </c>
      <c r="FJ10" s="1">
        <v>510135</v>
      </c>
      <c r="FK10" s="1">
        <v>2134850</v>
      </c>
      <c r="FL10" s="1">
        <v>10</v>
      </c>
      <c r="FM10" s="1">
        <v>10</v>
      </c>
      <c r="FN10" s="1">
        <v>225579</v>
      </c>
      <c r="FO10" s="1">
        <v>169400</v>
      </c>
      <c r="FP10" s="1">
        <v>5424739</v>
      </c>
      <c r="FQ10" s="1">
        <v>5361499</v>
      </c>
      <c r="FR10" s="1">
        <v>460169</v>
      </c>
      <c r="FS10" s="1">
        <v>1774440</v>
      </c>
      <c r="FT10" s="1">
        <v>32291906</v>
      </c>
      <c r="FU10" s="1">
        <v>19192694</v>
      </c>
      <c r="FV10" s="1">
        <v>8272112</v>
      </c>
      <c r="FW10" s="1">
        <v>8272112</v>
      </c>
      <c r="FX10" s="1"/>
      <c r="FY10" s="1"/>
      <c r="FZ10" s="1">
        <v>1821529</v>
      </c>
      <c r="GA10" s="1">
        <v>3938768</v>
      </c>
      <c r="GB10" s="1">
        <v>88566720</v>
      </c>
      <c r="GC10" s="1">
        <v>74317974</v>
      </c>
      <c r="GD10" s="1">
        <v>96289730</v>
      </c>
      <c r="GE10" s="1">
        <v>75174932</v>
      </c>
    </row>
    <row r="11" spans="1:187" s="3" customFormat="1" ht="12" x14ac:dyDescent="0.2">
      <c r="A11" s="1">
        <v>20006</v>
      </c>
      <c r="B11" s="1">
        <v>0</v>
      </c>
      <c r="C11" s="1">
        <v>200323067</v>
      </c>
      <c r="D11" s="1" t="s">
        <v>114</v>
      </c>
      <c r="E11" s="1">
        <v>24</v>
      </c>
      <c r="F11" s="1">
        <v>10</v>
      </c>
      <c r="G11" s="1">
        <v>2</v>
      </c>
      <c r="H11" s="1">
        <v>1</v>
      </c>
      <c r="I11" s="8">
        <v>2020</v>
      </c>
      <c r="J11" s="1">
        <v>4</v>
      </c>
      <c r="K11" s="1" t="s">
        <v>0</v>
      </c>
      <c r="L11" s="1">
        <v>2</v>
      </c>
      <c r="M11" s="1">
        <v>30</v>
      </c>
      <c r="N11" s="1">
        <v>0</v>
      </c>
      <c r="O11" s="1">
        <v>44596.373657407406</v>
      </c>
      <c r="P11" s="1">
        <v>21196752</v>
      </c>
      <c r="Q11" s="1">
        <v>22697474</v>
      </c>
      <c r="R11" s="1">
        <v>14286423</v>
      </c>
      <c r="S11" s="1">
        <v>16631362</v>
      </c>
      <c r="T11" s="1">
        <v>6910329</v>
      </c>
      <c r="U11" s="1">
        <v>6066112</v>
      </c>
      <c r="V11" s="1"/>
      <c r="W11" s="1"/>
      <c r="X11" s="1"/>
      <c r="Y11" s="1"/>
      <c r="Z11" s="1">
        <v>0</v>
      </c>
      <c r="AA11" s="1"/>
      <c r="AB11" s="1">
        <v>546150</v>
      </c>
      <c r="AC11" s="1">
        <v>546150</v>
      </c>
      <c r="AD11" s="1">
        <v>51</v>
      </c>
      <c r="AE11" s="1">
        <v>51</v>
      </c>
      <c r="AF11" s="1">
        <v>546099</v>
      </c>
      <c r="AG11" s="1">
        <v>546099</v>
      </c>
      <c r="AH11" s="1"/>
      <c r="AI11" s="1"/>
      <c r="AJ11" s="1"/>
      <c r="AK11" s="1"/>
      <c r="AL11" s="1"/>
      <c r="AM11" s="1"/>
      <c r="AN11" s="1">
        <v>53751</v>
      </c>
      <c r="AO11" s="1">
        <v>53751</v>
      </c>
      <c r="AP11" s="1">
        <v>3743002</v>
      </c>
      <c r="AQ11" s="1">
        <v>3728002</v>
      </c>
      <c r="AR11" s="1">
        <v>1616025</v>
      </c>
      <c r="AS11" s="1">
        <v>1332940</v>
      </c>
      <c r="AT11" s="1"/>
      <c r="AU11" s="1"/>
      <c r="AV11" s="2">
        <v>12869257</v>
      </c>
      <c r="AW11" s="1">
        <v>11726955</v>
      </c>
      <c r="AX11" s="1">
        <v>40270414</v>
      </c>
      <c r="AY11" s="1">
        <v>14952895</v>
      </c>
      <c r="AZ11" s="1">
        <v>15107486</v>
      </c>
      <c r="BA11" s="1">
        <v>8992752</v>
      </c>
      <c r="BB11" s="1">
        <v>315300</v>
      </c>
      <c r="BC11" s="1">
        <v>4766559</v>
      </c>
      <c r="BD11" s="1">
        <v>24683539</v>
      </c>
      <c r="BE11" s="1">
        <v>1029495</v>
      </c>
      <c r="BF11" s="1">
        <v>164089</v>
      </c>
      <c r="BG11" s="1">
        <v>164089</v>
      </c>
      <c r="BH11" s="1">
        <v>10950000</v>
      </c>
      <c r="BI11" s="1">
        <v>13719893</v>
      </c>
      <c r="BJ11" s="1">
        <v>26217477</v>
      </c>
      <c r="BK11" s="1">
        <v>26217392</v>
      </c>
      <c r="BL11" s="1">
        <v>12929570.300000001</v>
      </c>
      <c r="BM11" s="1">
        <v>29634491</v>
      </c>
      <c r="BN11" s="1"/>
      <c r="BO11" s="1"/>
      <c r="BP11" s="1">
        <v>1061166</v>
      </c>
      <c r="BQ11" s="1">
        <v>1403961</v>
      </c>
      <c r="BR11" s="1"/>
      <c r="BS11" s="1"/>
      <c r="BT11" s="1"/>
      <c r="BU11" s="1">
        <v>363</v>
      </c>
      <c r="BV11" s="1">
        <v>12346</v>
      </c>
      <c r="BW11" s="1">
        <v>40039</v>
      </c>
      <c r="BX11" s="1">
        <v>5627229</v>
      </c>
      <c r="BY11" s="1">
        <v>22863454</v>
      </c>
      <c r="BZ11" s="1">
        <v>2211307.2999999998</v>
      </c>
      <c r="CA11" s="1">
        <v>933770</v>
      </c>
      <c r="CB11" s="1"/>
      <c r="CC11" s="1"/>
      <c r="CD11" s="1"/>
      <c r="CE11" s="1"/>
      <c r="CF11" s="1">
        <v>15241</v>
      </c>
      <c r="CG11" s="1">
        <v>164608</v>
      </c>
      <c r="CH11" s="1">
        <v>4002281</v>
      </c>
      <c r="CI11" s="1">
        <v>4228296</v>
      </c>
      <c r="CJ11" s="1">
        <v>52090</v>
      </c>
      <c r="CK11" s="1">
        <v>14758</v>
      </c>
      <c r="CL11" s="1"/>
      <c r="CM11" s="1"/>
      <c r="CN11" s="1"/>
      <c r="CO11" s="1">
        <v>14106</v>
      </c>
      <c r="CP11" s="1">
        <v>52090</v>
      </c>
      <c r="CQ11" s="1">
        <v>652</v>
      </c>
      <c r="CR11" s="1"/>
      <c r="CS11" s="1"/>
      <c r="CT11" s="1"/>
      <c r="CU11" s="1"/>
      <c r="CV11" s="1">
        <v>23346</v>
      </c>
      <c r="CW11" s="1">
        <v>23346</v>
      </c>
      <c r="CX11" s="2">
        <v>90442897.299999997</v>
      </c>
      <c r="CY11" s="1">
        <v>84562775</v>
      </c>
      <c r="CZ11" s="1">
        <v>103312154.3</v>
      </c>
      <c r="DA11" s="1">
        <v>96289730</v>
      </c>
      <c r="DB11" s="1">
        <v>986966</v>
      </c>
      <c r="DC11" s="1">
        <v>986966</v>
      </c>
      <c r="DD11" s="1">
        <v>993961</v>
      </c>
      <c r="DE11" s="1">
        <v>993961</v>
      </c>
      <c r="DF11" s="1">
        <v>5137538</v>
      </c>
      <c r="DG11" s="1">
        <v>5697194</v>
      </c>
      <c r="DH11" s="1"/>
      <c r="DI11" s="1"/>
      <c r="DJ11" s="1">
        <v>16000542</v>
      </c>
      <c r="DK11" s="1">
        <v>44889</v>
      </c>
      <c r="DL11" s="24"/>
      <c r="DM11" s="24"/>
      <c r="DN11" s="1"/>
      <c r="DO11" s="1"/>
      <c r="DP11" s="2">
        <v>23119007</v>
      </c>
      <c r="DQ11" s="1">
        <v>7723010</v>
      </c>
      <c r="DR11" s="2">
        <v>25910546</v>
      </c>
      <c r="DS11" s="1">
        <v>29814057</v>
      </c>
      <c r="DT11" s="1">
        <v>2573744</v>
      </c>
      <c r="DU11" s="1">
        <v>4375439</v>
      </c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>
        <v>23336802</v>
      </c>
      <c r="EM11" s="1">
        <v>25438618</v>
      </c>
      <c r="EN11" s="1">
        <v>2573744</v>
      </c>
      <c r="EO11" s="1">
        <v>4375439</v>
      </c>
      <c r="EP11" s="2">
        <v>54282601.299999997</v>
      </c>
      <c r="EQ11" s="1">
        <v>58752663</v>
      </c>
      <c r="ER11" s="1">
        <v>18818348.739999998</v>
      </c>
      <c r="ES11" s="1">
        <v>16968384</v>
      </c>
      <c r="ET11" s="1"/>
      <c r="EU11" s="1"/>
      <c r="EV11" s="1">
        <v>3786546</v>
      </c>
      <c r="EW11" s="1">
        <v>1154824</v>
      </c>
      <c r="EX11" s="1"/>
      <c r="EY11" s="1"/>
      <c r="EZ11" s="1"/>
      <c r="FA11" s="1"/>
      <c r="FB11" s="1">
        <v>875607.56</v>
      </c>
      <c r="FC11" s="1">
        <v>1220261</v>
      </c>
      <c r="FD11" s="1"/>
      <c r="FE11" s="1"/>
      <c r="FF11" s="1"/>
      <c r="FG11" s="1"/>
      <c r="FH11" s="1">
        <v>2629151</v>
      </c>
      <c r="FI11" s="1">
        <v>7371399</v>
      </c>
      <c r="FJ11" s="1">
        <v>63926.74</v>
      </c>
      <c r="FK11" s="1">
        <v>510135</v>
      </c>
      <c r="FL11" s="1">
        <v>10</v>
      </c>
      <c r="FM11" s="1">
        <v>10</v>
      </c>
      <c r="FN11" s="1">
        <v>406076</v>
      </c>
      <c r="FO11" s="1">
        <v>225579</v>
      </c>
      <c r="FP11" s="1">
        <v>7747100</v>
      </c>
      <c r="FQ11" s="1">
        <v>5424739</v>
      </c>
      <c r="FR11" s="1">
        <v>1622297</v>
      </c>
      <c r="FS11" s="1">
        <v>460169</v>
      </c>
      <c r="FT11" s="1">
        <v>27000000</v>
      </c>
      <c r="FU11" s="1">
        <v>32291906</v>
      </c>
      <c r="FV11" s="1">
        <v>7588645</v>
      </c>
      <c r="FW11" s="1">
        <v>8272112</v>
      </c>
      <c r="FX11" s="1"/>
      <c r="FY11" s="1"/>
      <c r="FZ11" s="1">
        <v>2563242</v>
      </c>
      <c r="GA11" s="1">
        <v>1821529</v>
      </c>
      <c r="GB11" s="1">
        <v>80193147.299999997</v>
      </c>
      <c r="GC11" s="1">
        <v>88566720</v>
      </c>
      <c r="GD11" s="1">
        <v>103312154.3</v>
      </c>
      <c r="GE11" s="1">
        <v>96289730</v>
      </c>
    </row>
    <row r="12" spans="1:187" s="3" customFormat="1" ht="12" x14ac:dyDescent="0.2">
      <c r="A12" s="1">
        <v>20006</v>
      </c>
      <c r="B12" s="1">
        <v>0</v>
      </c>
      <c r="C12" s="1">
        <v>200323067</v>
      </c>
      <c r="D12" s="1" t="s">
        <v>114</v>
      </c>
      <c r="E12" s="1">
        <v>24</v>
      </c>
      <c r="F12" s="1">
        <v>10</v>
      </c>
      <c r="G12" s="1">
        <v>2</v>
      </c>
      <c r="H12" s="1">
        <v>1</v>
      </c>
      <c r="I12" s="8">
        <v>2019</v>
      </c>
      <c r="J12" s="1">
        <v>4</v>
      </c>
      <c r="K12" s="1" t="s">
        <v>0</v>
      </c>
      <c r="L12" s="1">
        <v>2</v>
      </c>
      <c r="M12" s="1">
        <v>30</v>
      </c>
      <c r="N12" s="1">
        <v>0</v>
      </c>
      <c r="O12" s="1">
        <v>44594.979247685187</v>
      </c>
      <c r="P12" s="1">
        <v>20668479</v>
      </c>
      <c r="Q12" s="1">
        <v>21196752</v>
      </c>
      <c r="R12" s="1">
        <v>13026810</v>
      </c>
      <c r="S12" s="1">
        <v>14286423</v>
      </c>
      <c r="T12" s="1">
        <v>7641669</v>
      </c>
      <c r="U12" s="1">
        <v>6910329</v>
      </c>
      <c r="V12" s="1"/>
      <c r="W12" s="1"/>
      <c r="X12" s="1"/>
      <c r="Y12" s="1"/>
      <c r="Z12" s="1"/>
      <c r="AA12" s="1"/>
      <c r="AB12" s="1">
        <v>636963</v>
      </c>
      <c r="AC12" s="1">
        <v>546150</v>
      </c>
      <c r="AD12" s="1">
        <v>51</v>
      </c>
      <c r="AE12" s="1">
        <v>51</v>
      </c>
      <c r="AF12" s="1">
        <v>636912</v>
      </c>
      <c r="AG12" s="1">
        <v>546099</v>
      </c>
      <c r="AH12" s="1"/>
      <c r="AI12" s="1"/>
      <c r="AJ12" s="1"/>
      <c r="AK12" s="1"/>
      <c r="AL12" s="1"/>
      <c r="AM12" s="1"/>
      <c r="AN12" s="1">
        <v>60791</v>
      </c>
      <c r="AO12" s="1">
        <v>53751</v>
      </c>
      <c r="AP12" s="1">
        <v>1343828</v>
      </c>
      <c r="AQ12" s="1">
        <v>3743002</v>
      </c>
      <c r="AR12" s="1">
        <v>1907821</v>
      </c>
      <c r="AS12" s="1">
        <v>1616025</v>
      </c>
      <c r="AT12" s="1"/>
      <c r="AU12" s="1"/>
      <c r="AV12" s="2">
        <v>11591072</v>
      </c>
      <c r="AW12" s="1">
        <v>12869257</v>
      </c>
      <c r="AX12" s="1">
        <v>26705266</v>
      </c>
      <c r="AY12" s="1">
        <v>40270414</v>
      </c>
      <c r="AZ12" s="1">
        <v>7956790</v>
      </c>
      <c r="BA12" s="1">
        <v>15107486</v>
      </c>
      <c r="BB12" s="1">
        <v>39283</v>
      </c>
      <c r="BC12" s="1">
        <v>315300</v>
      </c>
      <c r="BD12" s="1">
        <v>18507049</v>
      </c>
      <c r="BE12" s="1">
        <v>24683539</v>
      </c>
      <c r="BF12" s="1">
        <v>202144</v>
      </c>
      <c r="BG12" s="1">
        <v>164089</v>
      </c>
      <c r="BH12" s="1"/>
      <c r="BI12" s="1">
        <v>10950000</v>
      </c>
      <c r="BJ12" s="1">
        <v>26218995</v>
      </c>
      <c r="BK12" s="1">
        <v>26217477</v>
      </c>
      <c r="BL12" s="1">
        <v>8416276</v>
      </c>
      <c r="BM12" s="1">
        <v>12929570.300000001</v>
      </c>
      <c r="BN12" s="1">
        <v>271889</v>
      </c>
      <c r="BO12" s="1"/>
      <c r="BP12" s="1">
        <v>722163</v>
      </c>
      <c r="BQ12" s="1">
        <v>1061166</v>
      </c>
      <c r="BR12" s="1"/>
      <c r="BS12" s="1"/>
      <c r="BT12" s="1"/>
      <c r="BU12" s="1"/>
      <c r="BV12" s="1">
        <v>3515</v>
      </c>
      <c r="BW12" s="1">
        <v>12346</v>
      </c>
      <c r="BX12" s="1">
        <v>5535509</v>
      </c>
      <c r="BY12" s="1">
        <v>5627229</v>
      </c>
      <c r="BZ12" s="1">
        <v>444132</v>
      </c>
      <c r="CA12" s="1">
        <v>2211307.2999999998</v>
      </c>
      <c r="CB12" s="1"/>
      <c r="CC12" s="1"/>
      <c r="CD12" s="1"/>
      <c r="CE12" s="1"/>
      <c r="CF12" s="1">
        <v>13411</v>
      </c>
      <c r="CG12" s="1">
        <v>15241</v>
      </c>
      <c r="CH12" s="1">
        <v>1697546</v>
      </c>
      <c r="CI12" s="1">
        <v>4002281</v>
      </c>
      <c r="CJ12" s="1">
        <v>1444811</v>
      </c>
      <c r="CK12" s="1">
        <v>52090</v>
      </c>
      <c r="CL12" s="1"/>
      <c r="CM12" s="1"/>
      <c r="CN12" s="1">
        <v>1141965</v>
      </c>
      <c r="CO12" s="1"/>
      <c r="CP12" s="1">
        <v>302846</v>
      </c>
      <c r="CQ12" s="1">
        <v>52090</v>
      </c>
      <c r="CR12" s="1"/>
      <c r="CS12" s="1"/>
      <c r="CT12" s="1"/>
      <c r="CU12" s="1"/>
      <c r="CV12" s="1">
        <v>23346</v>
      </c>
      <c r="CW12" s="1">
        <v>23346</v>
      </c>
      <c r="CX12" s="2">
        <v>62808694</v>
      </c>
      <c r="CY12" s="1">
        <v>90442897.299999997</v>
      </c>
      <c r="CZ12" s="1">
        <v>74399766</v>
      </c>
      <c r="DA12" s="1">
        <v>103312154.3</v>
      </c>
      <c r="DB12" s="1">
        <v>986966</v>
      </c>
      <c r="DC12" s="1">
        <v>986966</v>
      </c>
      <c r="DD12" s="1">
        <v>993961</v>
      </c>
      <c r="DE12" s="1">
        <v>993961</v>
      </c>
      <c r="DF12" s="1">
        <v>4341974</v>
      </c>
      <c r="DG12" s="1">
        <v>5137538</v>
      </c>
      <c r="DH12" s="1"/>
      <c r="DI12" s="1"/>
      <c r="DJ12" s="1">
        <v>25140915</v>
      </c>
      <c r="DK12" s="1">
        <v>16000542</v>
      </c>
      <c r="DL12" s="24"/>
      <c r="DM12" s="24"/>
      <c r="DN12" s="1"/>
      <c r="DO12" s="1"/>
      <c r="DP12" s="2">
        <v>31463816</v>
      </c>
      <c r="DQ12" s="1">
        <v>23119007</v>
      </c>
      <c r="DR12" s="2">
        <v>20416519</v>
      </c>
      <c r="DS12" s="1">
        <v>25910546</v>
      </c>
      <c r="DT12" s="1"/>
      <c r="DU12" s="1">
        <v>2573744</v>
      </c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>
        <v>20416519</v>
      </c>
      <c r="EM12" s="1">
        <v>23336802</v>
      </c>
      <c r="EN12" s="1"/>
      <c r="EO12" s="1">
        <v>2573744</v>
      </c>
      <c r="EP12" s="2">
        <v>22519431</v>
      </c>
      <c r="EQ12" s="1">
        <v>54282601.299999997</v>
      </c>
      <c r="ER12" s="1">
        <v>3915435</v>
      </c>
      <c r="ES12" s="1">
        <v>18818348.739999998</v>
      </c>
      <c r="ET12" s="1"/>
      <c r="EU12" s="1"/>
      <c r="EV12" s="1">
        <v>322577</v>
      </c>
      <c r="EW12" s="1">
        <v>3786546</v>
      </c>
      <c r="EX12" s="1"/>
      <c r="EY12" s="1"/>
      <c r="EZ12" s="1"/>
      <c r="FA12" s="1"/>
      <c r="FB12" s="1"/>
      <c r="FC12" s="1">
        <v>875607.56</v>
      </c>
      <c r="FD12" s="1"/>
      <c r="FE12" s="1"/>
      <c r="FF12" s="1">
        <v>1234677</v>
      </c>
      <c r="FG12" s="1"/>
      <c r="FH12" s="1">
        <v>47634</v>
      </c>
      <c r="FI12" s="1">
        <v>2629151</v>
      </c>
      <c r="FJ12" s="1">
        <v>378988</v>
      </c>
      <c r="FK12" s="1">
        <v>63926.74</v>
      </c>
      <c r="FL12" s="1"/>
      <c r="FM12" s="1">
        <v>10</v>
      </c>
      <c r="FN12" s="1">
        <v>1113039</v>
      </c>
      <c r="FO12" s="1">
        <v>406076</v>
      </c>
      <c r="FP12" s="1">
        <v>106751</v>
      </c>
      <c r="FQ12" s="1">
        <v>7747100</v>
      </c>
      <c r="FR12" s="1">
        <v>1213233</v>
      </c>
      <c r="FS12" s="1">
        <v>1622297</v>
      </c>
      <c r="FT12" s="1">
        <v>10996354</v>
      </c>
      <c r="FU12" s="1">
        <v>27000000</v>
      </c>
      <c r="FV12" s="1">
        <v>6372965</v>
      </c>
      <c r="FW12" s="1">
        <v>7588645</v>
      </c>
      <c r="FX12" s="1"/>
      <c r="FY12" s="1"/>
      <c r="FZ12" s="1">
        <v>733213</v>
      </c>
      <c r="GA12" s="1">
        <v>2563242</v>
      </c>
      <c r="GB12" s="1">
        <v>42935950</v>
      </c>
      <c r="GC12" s="1">
        <v>80193147.299999997</v>
      </c>
      <c r="GD12" s="1">
        <v>74399766</v>
      </c>
      <c r="GE12" s="1">
        <v>103312154.3</v>
      </c>
    </row>
    <row r="13" spans="1:187" s="3" customFormat="1" x14ac:dyDescent="0.25">
      <c r="A13" s="1">
        <v>20006</v>
      </c>
      <c r="B13" s="1">
        <v>0</v>
      </c>
      <c r="C13" s="3">
        <v>200323067</v>
      </c>
      <c r="D13" s="8" t="s">
        <v>114</v>
      </c>
      <c r="E13" s="4">
        <v>24</v>
      </c>
      <c r="F13" s="4">
        <v>10</v>
      </c>
      <c r="G13" s="4">
        <v>2</v>
      </c>
      <c r="H13" s="4">
        <v>1</v>
      </c>
      <c r="I13" s="8">
        <v>2018</v>
      </c>
      <c r="J13" s="1">
        <v>4</v>
      </c>
      <c r="K13" s="3" t="s">
        <v>0</v>
      </c>
      <c r="L13" s="1">
        <v>2</v>
      </c>
      <c r="M13" s="1">
        <v>30</v>
      </c>
      <c r="N13" s="5">
        <v>0</v>
      </c>
      <c r="O13" s="6">
        <v>43620.445879629631</v>
      </c>
      <c r="P13" s="1">
        <v>17952322</v>
      </c>
      <c r="Q13" s="1">
        <v>19833890</v>
      </c>
      <c r="R13" s="1">
        <v>11258028</v>
      </c>
      <c r="S13" s="1">
        <v>12550134</v>
      </c>
      <c r="T13" s="1">
        <v>6694294</v>
      </c>
      <c r="U13" s="1">
        <v>7283756</v>
      </c>
      <c r="V13" s="1"/>
      <c r="W13" s="1"/>
      <c r="X13" s="1"/>
      <c r="Y13" s="1"/>
      <c r="Z13" s="1"/>
      <c r="AA13" s="1"/>
      <c r="AB13" s="1">
        <v>737864</v>
      </c>
      <c r="AC13" s="1">
        <v>636963</v>
      </c>
      <c r="AD13" s="1">
        <v>32772</v>
      </c>
      <c r="AE13" s="1">
        <v>51</v>
      </c>
      <c r="AF13" s="1">
        <v>705092</v>
      </c>
      <c r="AG13" s="1">
        <v>636912</v>
      </c>
      <c r="AH13" s="1"/>
      <c r="AI13" s="1"/>
      <c r="AJ13" s="1"/>
      <c r="AK13" s="1"/>
      <c r="AL13" s="1"/>
      <c r="AM13" s="1"/>
      <c r="AN13" s="1">
        <v>125691</v>
      </c>
      <c r="AO13" s="1">
        <v>60791</v>
      </c>
      <c r="AP13" s="1">
        <v>1313477</v>
      </c>
      <c r="AQ13" s="1">
        <v>1343828</v>
      </c>
      <c r="AR13" s="1">
        <v>1670039</v>
      </c>
      <c r="AS13" s="1">
        <v>1907821</v>
      </c>
      <c r="AT13" s="1"/>
      <c r="AU13" s="1"/>
      <c r="AV13" s="2">
        <v>10541365</v>
      </c>
      <c r="AW13" s="1">
        <v>11233159</v>
      </c>
      <c r="AX13" s="1">
        <v>12723107</v>
      </c>
      <c r="AY13" s="1">
        <v>26705266</v>
      </c>
      <c r="AZ13" s="1">
        <v>5608314</v>
      </c>
      <c r="BA13" s="1">
        <v>7956790</v>
      </c>
      <c r="BB13" s="1">
        <v>321973</v>
      </c>
      <c r="BC13" s="1">
        <v>39283</v>
      </c>
      <c r="BD13" s="1">
        <v>6792820</v>
      </c>
      <c r="BE13" s="1">
        <v>18507049</v>
      </c>
      <c r="BF13" s="1"/>
      <c r="BG13" s="1">
        <v>202144</v>
      </c>
      <c r="BH13" s="1">
        <v>206633</v>
      </c>
      <c r="BI13" s="1">
        <v>0</v>
      </c>
      <c r="BJ13" s="1">
        <v>25489415</v>
      </c>
      <c r="BK13" s="1">
        <v>26218995</v>
      </c>
      <c r="BL13" s="1">
        <v>6602767</v>
      </c>
      <c r="BM13" s="1">
        <v>8416276</v>
      </c>
      <c r="BN13" s="1">
        <v>21905</v>
      </c>
      <c r="BO13" s="1">
        <v>271889</v>
      </c>
      <c r="BP13" s="1">
        <v>2939786</v>
      </c>
      <c r="BQ13" s="1">
        <v>722163</v>
      </c>
      <c r="BR13" s="1"/>
      <c r="BS13" s="1"/>
      <c r="BT13" s="1"/>
      <c r="BU13" s="1"/>
      <c r="BV13" s="1">
        <v>2792</v>
      </c>
      <c r="BW13" s="1">
        <v>3515</v>
      </c>
      <c r="BX13" s="1">
        <v>2674689</v>
      </c>
      <c r="BY13" s="1">
        <v>5535509</v>
      </c>
      <c r="BZ13" s="1">
        <v>367210</v>
      </c>
      <c r="CA13" s="1">
        <v>444132</v>
      </c>
      <c r="CB13" s="1">
        <v>6</v>
      </c>
      <c r="CC13" s="1">
        <v>0</v>
      </c>
      <c r="CD13" s="1"/>
      <c r="CE13" s="1"/>
      <c r="CF13" s="1">
        <v>30248</v>
      </c>
      <c r="CG13" s="1">
        <v>13411</v>
      </c>
      <c r="CH13" s="1">
        <v>588036</v>
      </c>
      <c r="CI13" s="1">
        <v>1697546</v>
      </c>
      <c r="CJ13" s="1">
        <v>235456</v>
      </c>
      <c r="CK13" s="1">
        <v>1444811</v>
      </c>
      <c r="CL13" s="1"/>
      <c r="CM13" s="1"/>
      <c r="CN13" s="1">
        <v>14870</v>
      </c>
      <c r="CO13" s="1">
        <v>1141965</v>
      </c>
      <c r="CP13" s="1">
        <v>8502</v>
      </c>
      <c r="CQ13" s="1">
        <v>302846</v>
      </c>
      <c r="CR13" s="1">
        <v>212084</v>
      </c>
      <c r="CS13" s="1">
        <v>0</v>
      </c>
      <c r="CT13" s="1">
        <v>21500</v>
      </c>
      <c r="CU13" s="1">
        <v>0</v>
      </c>
      <c r="CV13" s="1">
        <v>23346</v>
      </c>
      <c r="CW13" s="1">
        <v>23346</v>
      </c>
      <c r="CX13" s="2">
        <v>45302224</v>
      </c>
      <c r="CY13" s="1">
        <v>62808694</v>
      </c>
      <c r="CZ13" s="1">
        <v>55843589</v>
      </c>
      <c r="DA13" s="1">
        <v>74041853</v>
      </c>
      <c r="DB13" s="1">
        <v>986966</v>
      </c>
      <c r="DC13" s="1">
        <v>986966</v>
      </c>
      <c r="DD13" s="1">
        <v>993961</v>
      </c>
      <c r="DE13" s="1">
        <v>993961</v>
      </c>
      <c r="DF13" s="1">
        <v>3952380</v>
      </c>
      <c r="DG13" s="1">
        <v>3984061</v>
      </c>
      <c r="DH13" s="1"/>
      <c r="DI13" s="1"/>
      <c r="DJ13" s="1">
        <v>10002726</v>
      </c>
      <c r="DK13" s="1">
        <v>25140915</v>
      </c>
      <c r="DL13" s="24"/>
      <c r="DM13" s="24"/>
      <c r="DN13" s="1"/>
      <c r="DO13" s="1"/>
      <c r="DP13" s="2">
        <v>15936033</v>
      </c>
      <c r="DQ13" s="1">
        <v>31105903</v>
      </c>
      <c r="DR13" s="2">
        <v>21365658</v>
      </c>
      <c r="DS13" s="1">
        <v>20416519</v>
      </c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>
        <v>21365658</v>
      </c>
      <c r="EM13" s="1">
        <v>20416519</v>
      </c>
      <c r="EN13" s="1"/>
      <c r="EO13" s="1"/>
      <c r="EP13" s="2">
        <v>18541898</v>
      </c>
      <c r="EQ13" s="1">
        <v>22519431</v>
      </c>
      <c r="ER13" s="1">
        <v>5817543</v>
      </c>
      <c r="ES13" s="1">
        <v>3915435</v>
      </c>
      <c r="ET13" s="1"/>
      <c r="EU13" s="1"/>
      <c r="EV13" s="1">
        <v>3227911</v>
      </c>
      <c r="EW13" s="1">
        <v>322577</v>
      </c>
      <c r="EX13" s="1"/>
      <c r="EY13" s="1"/>
      <c r="EZ13" s="1"/>
      <c r="FA13" s="1"/>
      <c r="FB13" s="1"/>
      <c r="FC13" s="1"/>
      <c r="FD13" s="1"/>
      <c r="FE13" s="1"/>
      <c r="FF13" s="1">
        <v>100817</v>
      </c>
      <c r="FG13" s="1">
        <v>1234677</v>
      </c>
      <c r="FH13" s="1">
        <v>5296</v>
      </c>
      <c r="FI13" s="1">
        <v>47634</v>
      </c>
      <c r="FJ13" s="1">
        <v>655534</v>
      </c>
      <c r="FK13" s="1">
        <v>378988</v>
      </c>
      <c r="FL13" s="1"/>
      <c r="FM13" s="1"/>
      <c r="FN13" s="1">
        <v>499702</v>
      </c>
      <c r="FO13" s="1">
        <v>1113039</v>
      </c>
      <c r="FP13" s="1">
        <v>226638</v>
      </c>
      <c r="FQ13" s="1">
        <v>106751</v>
      </c>
      <c r="FR13" s="1">
        <v>211634</v>
      </c>
      <c r="FS13" s="1">
        <v>1213233</v>
      </c>
      <c r="FT13" s="1">
        <v>6700000</v>
      </c>
      <c r="FU13" s="1">
        <v>10996354</v>
      </c>
      <c r="FV13" s="1">
        <v>5923538</v>
      </c>
      <c r="FW13" s="1">
        <v>6372965</v>
      </c>
      <c r="FX13" s="1"/>
      <c r="FY13" s="1"/>
      <c r="FZ13" s="1">
        <v>990828</v>
      </c>
      <c r="GA13" s="1">
        <v>733213</v>
      </c>
      <c r="GB13" s="1">
        <v>39907556</v>
      </c>
      <c r="GC13" s="1">
        <v>42935950</v>
      </c>
      <c r="GD13" s="1">
        <v>55843589</v>
      </c>
      <c r="GE13" s="1">
        <v>74041853</v>
      </c>
    </row>
    <row r="14" spans="1:187" s="3" customFormat="1" ht="12" x14ac:dyDescent="0.2">
      <c r="A14" s="1">
        <v>20006</v>
      </c>
      <c r="B14" s="1">
        <v>0</v>
      </c>
      <c r="C14" s="1">
        <v>200466854</v>
      </c>
      <c r="D14" s="1" t="s">
        <v>115</v>
      </c>
      <c r="E14" s="1">
        <v>27</v>
      </c>
      <c r="F14" s="1">
        <v>22</v>
      </c>
      <c r="G14" s="1">
        <v>0</v>
      </c>
      <c r="H14" s="1">
        <v>8</v>
      </c>
      <c r="I14" s="8">
        <v>2021</v>
      </c>
      <c r="J14" s="1">
        <v>4</v>
      </c>
      <c r="K14" s="1" t="s">
        <v>0</v>
      </c>
      <c r="L14" s="1">
        <v>1</v>
      </c>
      <c r="M14" s="1">
        <v>30</v>
      </c>
      <c r="N14" s="1">
        <v>0</v>
      </c>
      <c r="O14" s="1">
        <v>44624.644953703704</v>
      </c>
      <c r="P14" s="1">
        <v>46482344</v>
      </c>
      <c r="Q14" s="1">
        <v>46528972</v>
      </c>
      <c r="R14" s="1">
        <v>29880530</v>
      </c>
      <c r="S14" s="1">
        <v>31474475</v>
      </c>
      <c r="T14" s="1">
        <v>16601814</v>
      </c>
      <c r="U14" s="1">
        <v>15054497</v>
      </c>
      <c r="V14" s="1">
        <v>74882</v>
      </c>
      <c r="W14" s="1">
        <v>74882</v>
      </c>
      <c r="X14" s="1"/>
      <c r="Y14" s="1"/>
      <c r="Z14" s="1">
        <v>74882</v>
      </c>
      <c r="AA14" s="1">
        <v>74882</v>
      </c>
      <c r="AB14" s="1">
        <v>1551476</v>
      </c>
      <c r="AC14" s="1">
        <v>1551476</v>
      </c>
      <c r="AD14" s="1">
        <v>536</v>
      </c>
      <c r="AE14" s="1">
        <v>536</v>
      </c>
      <c r="AF14" s="1"/>
      <c r="AG14" s="1"/>
      <c r="AH14" s="1"/>
      <c r="AI14" s="1"/>
      <c r="AJ14" s="1"/>
      <c r="AK14" s="1"/>
      <c r="AL14" s="1">
        <v>1550940</v>
      </c>
      <c r="AM14" s="1">
        <v>1550940</v>
      </c>
      <c r="AN14" s="1">
        <v>5761806</v>
      </c>
      <c r="AO14" s="1">
        <v>7298353</v>
      </c>
      <c r="AP14" s="1">
        <v>159559</v>
      </c>
      <c r="AQ14" s="1">
        <v>241658</v>
      </c>
      <c r="AR14" s="1">
        <v>295354</v>
      </c>
      <c r="AS14" s="1">
        <v>202155</v>
      </c>
      <c r="AT14" s="1"/>
      <c r="AU14" s="1"/>
      <c r="AV14" s="2">
        <v>24444891</v>
      </c>
      <c r="AW14" s="1">
        <v>24423021</v>
      </c>
      <c r="AX14" s="1">
        <v>15336232</v>
      </c>
      <c r="AY14" s="1">
        <v>14845788</v>
      </c>
      <c r="AZ14" s="1">
        <v>10649173</v>
      </c>
      <c r="BA14" s="1">
        <v>7757475</v>
      </c>
      <c r="BB14" s="1">
        <v>12145</v>
      </c>
      <c r="BC14" s="1">
        <v>0</v>
      </c>
      <c r="BD14" s="1">
        <v>4674914</v>
      </c>
      <c r="BE14" s="1">
        <v>7088313</v>
      </c>
      <c r="BF14" s="1"/>
      <c r="BG14" s="1"/>
      <c r="BH14" s="1">
        <v>310950</v>
      </c>
      <c r="BI14" s="1">
        <v>415258</v>
      </c>
      <c r="BJ14" s="1"/>
      <c r="BK14" s="1"/>
      <c r="BL14" s="1">
        <v>13343480</v>
      </c>
      <c r="BM14" s="1">
        <v>12266351</v>
      </c>
      <c r="BN14" s="1">
        <v>997445</v>
      </c>
      <c r="BO14" s="1">
        <v>917923</v>
      </c>
      <c r="BP14" s="1">
        <v>2230541</v>
      </c>
      <c r="BQ14" s="1">
        <v>4800787</v>
      </c>
      <c r="BR14" s="1"/>
      <c r="BS14" s="1"/>
      <c r="BT14" s="1"/>
      <c r="BU14" s="1"/>
      <c r="BV14" s="1"/>
      <c r="BW14" s="1"/>
      <c r="BX14" s="1">
        <v>7856469</v>
      </c>
      <c r="BY14" s="1">
        <v>3320560</v>
      </c>
      <c r="BZ14" s="1">
        <v>1368334</v>
      </c>
      <c r="CA14" s="1">
        <v>2088283</v>
      </c>
      <c r="CB14" s="1">
        <v>19046</v>
      </c>
      <c r="CC14" s="1">
        <v>9657</v>
      </c>
      <c r="CD14" s="1"/>
      <c r="CE14" s="1"/>
      <c r="CF14" s="1">
        <v>299926</v>
      </c>
      <c r="CG14" s="1">
        <v>252860</v>
      </c>
      <c r="CH14" s="1">
        <v>1569164</v>
      </c>
      <c r="CI14" s="1">
        <v>1794204</v>
      </c>
      <c r="CJ14" s="1">
        <v>8866295</v>
      </c>
      <c r="CK14" s="1">
        <v>2071749</v>
      </c>
      <c r="CL14" s="1"/>
      <c r="CM14" s="1"/>
      <c r="CN14" s="1">
        <v>30281</v>
      </c>
      <c r="CO14" s="1">
        <v>662023</v>
      </c>
      <c r="CP14" s="1">
        <v>8500722</v>
      </c>
      <c r="CQ14" s="1">
        <v>70925</v>
      </c>
      <c r="CR14" s="1">
        <v>335292</v>
      </c>
      <c r="CS14" s="1">
        <v>1338801</v>
      </c>
      <c r="CT14" s="1">
        <v>157711</v>
      </c>
      <c r="CU14" s="1">
        <v>37944</v>
      </c>
      <c r="CV14" s="1">
        <v>1982</v>
      </c>
      <c r="CW14" s="1">
        <v>1760</v>
      </c>
      <c r="CX14" s="2">
        <v>38016650</v>
      </c>
      <c r="CY14" s="1">
        <v>29638850</v>
      </c>
      <c r="CZ14" s="1">
        <v>62461541</v>
      </c>
      <c r="DA14" s="1">
        <v>54061871</v>
      </c>
      <c r="DB14" s="1">
        <v>8452563</v>
      </c>
      <c r="DC14" s="1">
        <v>8452563</v>
      </c>
      <c r="DD14" s="1">
        <v>13982173</v>
      </c>
      <c r="DE14" s="1">
        <v>13982173</v>
      </c>
      <c r="DF14" s="1">
        <v>12802057</v>
      </c>
      <c r="DG14" s="1">
        <v>12757918</v>
      </c>
      <c r="DH14" s="1"/>
      <c r="DI14" s="1"/>
      <c r="DJ14" s="1">
        <v>14115899</v>
      </c>
      <c r="DK14" s="1">
        <v>8435898</v>
      </c>
      <c r="DL14" s="24"/>
      <c r="DM14" s="24"/>
      <c r="DN14" s="1"/>
      <c r="DO14" s="1"/>
      <c r="DP14" s="2">
        <v>49352692</v>
      </c>
      <c r="DQ14" s="1">
        <v>43628552</v>
      </c>
      <c r="DR14" s="2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2">
        <v>13108849</v>
      </c>
      <c r="EQ14" s="1">
        <v>10433319</v>
      </c>
      <c r="ER14" s="1">
        <v>3107284</v>
      </c>
      <c r="ES14" s="1">
        <v>2431754</v>
      </c>
      <c r="ET14" s="1"/>
      <c r="EU14" s="1"/>
      <c r="EV14" s="1">
        <v>853490</v>
      </c>
      <c r="EW14" s="1">
        <v>899385</v>
      </c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>
        <v>41121</v>
      </c>
      <c r="FI14" s="1">
        <v>52594</v>
      </c>
      <c r="FJ14" s="1">
        <v>365795</v>
      </c>
      <c r="FK14" s="1">
        <v>173450</v>
      </c>
      <c r="FL14" s="1"/>
      <c r="FM14" s="1"/>
      <c r="FN14" s="1">
        <v>265522</v>
      </c>
      <c r="FO14" s="1">
        <v>193985</v>
      </c>
      <c r="FP14" s="1">
        <v>894890</v>
      </c>
      <c r="FQ14" s="1">
        <v>395756</v>
      </c>
      <c r="FR14" s="1">
        <v>610078</v>
      </c>
      <c r="FS14" s="1">
        <v>629797</v>
      </c>
      <c r="FT14" s="1">
        <v>10001565</v>
      </c>
      <c r="FU14" s="1">
        <v>8001565</v>
      </c>
      <c r="FV14" s="1"/>
      <c r="FW14" s="1"/>
      <c r="FX14" s="1"/>
      <c r="FY14" s="1"/>
      <c r="FZ14" s="1">
        <v>76388</v>
      </c>
      <c r="GA14" s="1">
        <v>86787</v>
      </c>
      <c r="GB14" s="1">
        <v>13108849</v>
      </c>
      <c r="GC14" s="1">
        <v>10433319</v>
      </c>
      <c r="GD14" s="1">
        <v>62461541</v>
      </c>
      <c r="GE14" s="1">
        <v>54061871</v>
      </c>
    </row>
    <row r="15" spans="1:187" s="3" customFormat="1" ht="12" x14ac:dyDescent="0.2">
      <c r="A15" s="1">
        <v>20006</v>
      </c>
      <c r="B15" s="1">
        <v>0</v>
      </c>
      <c r="C15" s="1">
        <v>200466854</v>
      </c>
      <c r="D15" s="1" t="s">
        <v>115</v>
      </c>
      <c r="E15" s="1">
        <v>27</v>
      </c>
      <c r="F15" s="1">
        <v>22</v>
      </c>
      <c r="G15" s="1">
        <v>0</v>
      </c>
      <c r="H15" s="1">
        <v>8</v>
      </c>
      <c r="I15" s="8">
        <v>2020</v>
      </c>
      <c r="J15" s="1">
        <v>4</v>
      </c>
      <c r="K15" s="1" t="s">
        <v>0</v>
      </c>
      <c r="L15" s="1">
        <v>1</v>
      </c>
      <c r="M15" s="1">
        <v>30</v>
      </c>
      <c r="N15" s="1">
        <v>0</v>
      </c>
      <c r="O15" s="1">
        <v>44264.450254629628</v>
      </c>
      <c r="P15" s="1">
        <v>43742333</v>
      </c>
      <c r="Q15" s="1">
        <v>46482344</v>
      </c>
      <c r="R15" s="1">
        <v>26813671</v>
      </c>
      <c r="S15" s="1">
        <v>29880530</v>
      </c>
      <c r="T15" s="1">
        <v>16928662</v>
      </c>
      <c r="U15" s="1">
        <v>16601814</v>
      </c>
      <c r="V15" s="1">
        <v>74882</v>
      </c>
      <c r="W15" s="1">
        <v>74882</v>
      </c>
      <c r="X15" s="1"/>
      <c r="Y15" s="1"/>
      <c r="Z15" s="1">
        <v>74882</v>
      </c>
      <c r="AA15" s="1">
        <v>74882</v>
      </c>
      <c r="AB15" s="1">
        <v>1551476</v>
      </c>
      <c r="AC15" s="1">
        <v>1551476</v>
      </c>
      <c r="AD15" s="1">
        <v>536</v>
      </c>
      <c r="AE15" s="1">
        <v>536</v>
      </c>
      <c r="AF15" s="1"/>
      <c r="AG15" s="1"/>
      <c r="AH15" s="1"/>
      <c r="AI15" s="1"/>
      <c r="AJ15" s="1"/>
      <c r="AK15" s="1"/>
      <c r="AL15" s="1">
        <v>1550940</v>
      </c>
      <c r="AM15" s="1">
        <v>1550940</v>
      </c>
      <c r="AN15" s="1">
        <v>1586341</v>
      </c>
      <c r="AO15" s="1">
        <v>5761806</v>
      </c>
      <c r="AP15" s="1">
        <v>77451</v>
      </c>
      <c r="AQ15" s="1">
        <v>159559</v>
      </c>
      <c r="AR15" s="1">
        <v>401169</v>
      </c>
      <c r="AS15" s="1">
        <v>295354</v>
      </c>
      <c r="AT15" s="1"/>
      <c r="AU15" s="1"/>
      <c r="AV15" s="2">
        <v>20619981</v>
      </c>
      <c r="AW15" s="1">
        <v>24444891</v>
      </c>
      <c r="AX15" s="1">
        <v>30951383</v>
      </c>
      <c r="AY15" s="1">
        <v>15336232</v>
      </c>
      <c r="AZ15" s="1">
        <v>7811552</v>
      </c>
      <c r="BA15" s="1">
        <v>10649173</v>
      </c>
      <c r="BB15" s="1">
        <v>77080</v>
      </c>
      <c r="BC15" s="1">
        <v>12145</v>
      </c>
      <c r="BD15" s="1">
        <v>23062751</v>
      </c>
      <c r="BE15" s="1">
        <v>4674914</v>
      </c>
      <c r="BF15" s="1"/>
      <c r="BG15" s="1"/>
      <c r="BH15" s="1">
        <v>388499</v>
      </c>
      <c r="BI15" s="1">
        <v>310950</v>
      </c>
      <c r="BJ15" s="1"/>
      <c r="BK15" s="1"/>
      <c r="BL15" s="1">
        <v>10350372</v>
      </c>
      <c r="BM15" s="1">
        <v>13343480</v>
      </c>
      <c r="BN15" s="1"/>
      <c r="BO15" s="1">
        <v>991032</v>
      </c>
      <c r="BP15" s="1">
        <v>762559</v>
      </c>
      <c r="BQ15" s="1">
        <v>2230541</v>
      </c>
      <c r="BR15" s="1"/>
      <c r="BS15" s="1"/>
      <c r="BT15" s="1"/>
      <c r="BU15" s="1"/>
      <c r="BV15" s="1"/>
      <c r="BW15" s="1"/>
      <c r="BX15" s="1">
        <v>2144142</v>
      </c>
      <c r="BY15" s="1">
        <v>7856469</v>
      </c>
      <c r="BZ15" s="1">
        <v>1080732</v>
      </c>
      <c r="CA15" s="1">
        <v>1368334</v>
      </c>
      <c r="CB15" s="1">
        <v>13198</v>
      </c>
      <c r="CC15" s="1">
        <v>19046</v>
      </c>
      <c r="CD15" s="1"/>
      <c r="CE15" s="1"/>
      <c r="CF15" s="1">
        <v>221512</v>
      </c>
      <c r="CG15" s="1">
        <v>299926</v>
      </c>
      <c r="CH15" s="1">
        <v>6128229</v>
      </c>
      <c r="CI15" s="1">
        <v>1569164</v>
      </c>
      <c r="CJ15" s="1">
        <v>15729422</v>
      </c>
      <c r="CK15" s="1">
        <v>8866295</v>
      </c>
      <c r="CL15" s="1"/>
      <c r="CM15" s="1"/>
      <c r="CN15" s="1">
        <v>228814</v>
      </c>
      <c r="CO15" s="1">
        <v>30281</v>
      </c>
      <c r="CP15" s="1">
        <v>14103868</v>
      </c>
      <c r="CQ15" s="1">
        <v>8500722</v>
      </c>
      <c r="CR15" s="1">
        <v>1396740</v>
      </c>
      <c r="CS15" s="1">
        <v>335292</v>
      </c>
      <c r="CT15" s="1">
        <v>999850</v>
      </c>
      <c r="CU15" s="1">
        <v>157711</v>
      </c>
      <c r="CV15" s="1">
        <v>1761</v>
      </c>
      <c r="CW15" s="1">
        <v>1982</v>
      </c>
      <c r="CX15" s="2">
        <v>58421287</v>
      </c>
      <c r="CY15" s="1">
        <v>38016650</v>
      </c>
      <c r="CZ15" s="1">
        <v>79041268</v>
      </c>
      <c r="DA15" s="1">
        <v>62461541</v>
      </c>
      <c r="DB15" s="1">
        <v>8452563</v>
      </c>
      <c r="DC15" s="1">
        <v>8452563</v>
      </c>
      <c r="DD15" s="1">
        <v>13982173</v>
      </c>
      <c r="DE15" s="1">
        <v>13982173</v>
      </c>
      <c r="DF15" s="1">
        <v>12030422</v>
      </c>
      <c r="DG15" s="1">
        <v>12802057</v>
      </c>
      <c r="DH15" s="1"/>
      <c r="DI15" s="1"/>
      <c r="DJ15" s="1">
        <v>25325241</v>
      </c>
      <c r="DK15" s="1">
        <v>14115899</v>
      </c>
      <c r="DL15" s="24"/>
      <c r="DM15" s="24"/>
      <c r="DN15" s="1"/>
      <c r="DO15" s="1"/>
      <c r="DP15" s="2">
        <v>59790399</v>
      </c>
      <c r="DQ15" s="1">
        <v>49352692</v>
      </c>
      <c r="DR15" s="2">
        <v>44405</v>
      </c>
      <c r="DS15" s="1"/>
      <c r="DT15" s="1">
        <v>44405</v>
      </c>
      <c r="DU15" s="1"/>
      <c r="DV15" s="1">
        <v>44405</v>
      </c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2">
        <v>19206464</v>
      </c>
      <c r="EQ15" s="1">
        <v>13108849</v>
      </c>
      <c r="ER15" s="1">
        <v>3828865</v>
      </c>
      <c r="ES15" s="1">
        <v>3107284</v>
      </c>
      <c r="ET15" s="1"/>
      <c r="EU15" s="1"/>
      <c r="EV15" s="1">
        <v>752773</v>
      </c>
      <c r="EW15" s="1">
        <v>853490</v>
      </c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>
        <v>187196</v>
      </c>
      <c r="FI15" s="1">
        <v>41121</v>
      </c>
      <c r="FJ15" s="1">
        <v>361790</v>
      </c>
      <c r="FK15" s="1">
        <v>365795</v>
      </c>
      <c r="FL15" s="1"/>
      <c r="FM15" s="1"/>
      <c r="FN15" s="1">
        <v>527815</v>
      </c>
      <c r="FO15" s="1">
        <v>265522</v>
      </c>
      <c r="FP15" s="1">
        <v>906155</v>
      </c>
      <c r="FQ15" s="1">
        <v>894890</v>
      </c>
      <c r="FR15" s="1">
        <v>980676</v>
      </c>
      <c r="FS15" s="1">
        <v>610078</v>
      </c>
      <c r="FT15" s="1">
        <v>15377599</v>
      </c>
      <c r="FU15" s="1">
        <v>10001565</v>
      </c>
      <c r="FV15" s="1"/>
      <c r="FW15" s="1"/>
      <c r="FX15" s="1"/>
      <c r="FY15" s="1"/>
      <c r="FZ15" s="1">
        <v>112460</v>
      </c>
      <c r="GA15" s="1">
        <v>76388</v>
      </c>
      <c r="GB15" s="1">
        <v>19250869</v>
      </c>
      <c r="GC15" s="1">
        <v>13108849</v>
      </c>
      <c r="GD15" s="1">
        <v>79041268</v>
      </c>
      <c r="GE15" s="1">
        <v>62461541</v>
      </c>
    </row>
    <row r="16" spans="1:187" s="3" customFormat="1" ht="12" x14ac:dyDescent="0.2">
      <c r="A16" s="1">
        <v>20006</v>
      </c>
      <c r="B16" s="1">
        <v>0</v>
      </c>
      <c r="C16" s="1">
        <v>200466854</v>
      </c>
      <c r="D16" s="1" t="s">
        <v>115</v>
      </c>
      <c r="E16" s="1">
        <v>27</v>
      </c>
      <c r="F16" s="1">
        <v>22</v>
      </c>
      <c r="G16" s="1">
        <v>0</v>
      </c>
      <c r="H16" s="1">
        <v>8</v>
      </c>
      <c r="I16" s="8">
        <v>2019</v>
      </c>
      <c r="J16" s="1">
        <v>4</v>
      </c>
      <c r="K16" s="1" t="s">
        <v>0</v>
      </c>
      <c r="L16" s="1">
        <v>2</v>
      </c>
      <c r="M16" s="1">
        <v>30</v>
      </c>
      <c r="N16" s="1">
        <v>0</v>
      </c>
      <c r="O16" s="1">
        <v>43997.685335648152</v>
      </c>
      <c r="P16" s="1">
        <v>42338370</v>
      </c>
      <c r="Q16" s="1">
        <v>43742333</v>
      </c>
      <c r="R16" s="1">
        <v>25924747</v>
      </c>
      <c r="S16" s="1">
        <v>26813671</v>
      </c>
      <c r="T16" s="1">
        <v>16413623</v>
      </c>
      <c r="U16" s="1">
        <v>16928662</v>
      </c>
      <c r="V16" s="1"/>
      <c r="W16" s="1">
        <v>74882</v>
      </c>
      <c r="X16" s="1"/>
      <c r="Y16" s="1"/>
      <c r="Z16" s="1"/>
      <c r="AA16" s="1">
        <v>74882</v>
      </c>
      <c r="AB16" s="1">
        <v>1551476</v>
      </c>
      <c r="AC16" s="1">
        <v>1551476</v>
      </c>
      <c r="AD16" s="1">
        <v>536</v>
      </c>
      <c r="AE16" s="1">
        <v>536</v>
      </c>
      <c r="AF16" s="1"/>
      <c r="AG16" s="1"/>
      <c r="AH16" s="1"/>
      <c r="AI16" s="1"/>
      <c r="AJ16" s="1"/>
      <c r="AK16" s="1"/>
      <c r="AL16" s="1">
        <v>1550940</v>
      </c>
      <c r="AM16" s="1">
        <v>1550940</v>
      </c>
      <c r="AN16" s="1">
        <v>90032</v>
      </c>
      <c r="AO16" s="1">
        <v>1586341</v>
      </c>
      <c r="AP16" s="1">
        <v>39370</v>
      </c>
      <c r="AQ16" s="1">
        <v>77451</v>
      </c>
      <c r="AR16" s="1">
        <v>272151</v>
      </c>
      <c r="AS16" s="1">
        <v>401169</v>
      </c>
      <c r="AT16" s="1"/>
      <c r="AU16" s="1"/>
      <c r="AV16" s="2">
        <v>18366652</v>
      </c>
      <c r="AW16" s="1">
        <v>20619981</v>
      </c>
      <c r="AX16" s="1">
        <v>23253138</v>
      </c>
      <c r="AY16" s="1">
        <v>30951383</v>
      </c>
      <c r="AZ16" s="1">
        <v>15902901</v>
      </c>
      <c r="BA16" s="1">
        <v>7811552</v>
      </c>
      <c r="BB16" s="1">
        <v>218545</v>
      </c>
      <c r="BC16" s="1">
        <v>77080</v>
      </c>
      <c r="BD16" s="1">
        <v>7131692</v>
      </c>
      <c r="BE16" s="1">
        <v>23062751</v>
      </c>
      <c r="BF16" s="1"/>
      <c r="BG16" s="1"/>
      <c r="BH16" s="1">
        <v>88373</v>
      </c>
      <c r="BI16" s="1">
        <v>388499</v>
      </c>
      <c r="BJ16" s="1"/>
      <c r="BK16" s="1"/>
      <c r="BL16" s="1">
        <v>12413149</v>
      </c>
      <c r="BM16" s="1">
        <v>10350372</v>
      </c>
      <c r="BN16" s="1"/>
      <c r="BO16" s="1"/>
      <c r="BP16" s="1">
        <v>159385</v>
      </c>
      <c r="BQ16" s="1">
        <v>762559</v>
      </c>
      <c r="BR16" s="1"/>
      <c r="BS16" s="1"/>
      <c r="BT16" s="1"/>
      <c r="BU16" s="1"/>
      <c r="BV16" s="1"/>
      <c r="BW16" s="1"/>
      <c r="BX16" s="1">
        <v>9076440</v>
      </c>
      <c r="BY16" s="1">
        <v>2144142</v>
      </c>
      <c r="BZ16" s="1">
        <v>448085</v>
      </c>
      <c r="CA16" s="1">
        <v>1080732</v>
      </c>
      <c r="CB16" s="1">
        <v>14446</v>
      </c>
      <c r="CC16" s="1">
        <v>13198</v>
      </c>
      <c r="CD16" s="1"/>
      <c r="CE16" s="1"/>
      <c r="CF16" s="1">
        <v>86982</v>
      </c>
      <c r="CG16" s="1">
        <v>221512</v>
      </c>
      <c r="CH16" s="1">
        <v>2627811</v>
      </c>
      <c r="CI16" s="1">
        <v>6128229</v>
      </c>
      <c r="CJ16" s="1">
        <v>16264021</v>
      </c>
      <c r="CK16" s="1">
        <v>15729422</v>
      </c>
      <c r="CL16" s="1"/>
      <c r="CM16" s="1"/>
      <c r="CN16" s="1">
        <v>1088384</v>
      </c>
      <c r="CO16" s="1">
        <v>228814</v>
      </c>
      <c r="CP16" s="1">
        <v>15161537</v>
      </c>
      <c r="CQ16" s="1">
        <v>14103868</v>
      </c>
      <c r="CR16" s="1">
        <v>14100</v>
      </c>
      <c r="CS16" s="1">
        <v>1396740</v>
      </c>
      <c r="CT16" s="1">
        <v>820944</v>
      </c>
      <c r="CU16" s="1">
        <v>999850</v>
      </c>
      <c r="CV16" s="1">
        <v>1761</v>
      </c>
      <c r="CW16" s="1">
        <v>1761</v>
      </c>
      <c r="CX16" s="2">
        <v>52841386</v>
      </c>
      <c r="CY16" s="1">
        <v>58421287</v>
      </c>
      <c r="CZ16" s="1">
        <v>71208038</v>
      </c>
      <c r="DA16" s="1">
        <v>79041268</v>
      </c>
      <c r="DB16" s="1">
        <v>8452563</v>
      </c>
      <c r="DC16" s="1">
        <v>8452563</v>
      </c>
      <c r="DD16" s="1">
        <v>13982173</v>
      </c>
      <c r="DE16" s="1">
        <v>13982173</v>
      </c>
      <c r="DF16" s="1">
        <v>12289497</v>
      </c>
      <c r="DG16" s="1">
        <v>12030422</v>
      </c>
      <c r="DH16" s="1"/>
      <c r="DI16" s="1"/>
      <c r="DJ16" s="1">
        <v>24391431</v>
      </c>
      <c r="DK16" s="1">
        <v>25325241</v>
      </c>
      <c r="DL16" s="24"/>
      <c r="DM16" s="24"/>
      <c r="DN16" s="1"/>
      <c r="DO16" s="1"/>
      <c r="DP16" s="2">
        <v>59115664</v>
      </c>
      <c r="DQ16" s="1">
        <v>59790399</v>
      </c>
      <c r="DR16" s="2">
        <v>606406</v>
      </c>
      <c r="DS16" s="1">
        <v>44405</v>
      </c>
      <c r="DT16" s="1">
        <v>606406</v>
      </c>
      <c r="DU16" s="1">
        <v>44405</v>
      </c>
      <c r="DV16" s="1">
        <v>606406</v>
      </c>
      <c r="DW16" s="1">
        <v>44405</v>
      </c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2">
        <v>11485968</v>
      </c>
      <c r="EQ16" s="1">
        <v>19206464</v>
      </c>
      <c r="ER16" s="1">
        <v>7485968</v>
      </c>
      <c r="ES16" s="1">
        <v>3828865</v>
      </c>
      <c r="ET16" s="1"/>
      <c r="EU16" s="1"/>
      <c r="EV16" s="1">
        <v>1377308</v>
      </c>
      <c r="EW16" s="1">
        <v>752773</v>
      </c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>
        <v>147615</v>
      </c>
      <c r="FI16" s="1">
        <v>187196</v>
      </c>
      <c r="FJ16" s="1">
        <v>2339696</v>
      </c>
      <c r="FK16" s="1">
        <v>361790</v>
      </c>
      <c r="FL16" s="1"/>
      <c r="FM16" s="1"/>
      <c r="FN16" s="1">
        <v>1334535</v>
      </c>
      <c r="FO16" s="1">
        <v>527815</v>
      </c>
      <c r="FP16" s="1">
        <v>244538</v>
      </c>
      <c r="FQ16" s="1">
        <v>906155</v>
      </c>
      <c r="FR16" s="1">
        <v>1562310</v>
      </c>
      <c r="FS16" s="1">
        <v>980676</v>
      </c>
      <c r="FT16" s="1">
        <v>4000000</v>
      </c>
      <c r="FU16" s="1">
        <v>15377599</v>
      </c>
      <c r="FV16" s="1"/>
      <c r="FW16" s="1"/>
      <c r="FX16" s="1"/>
      <c r="FY16" s="1"/>
      <c r="FZ16" s="1">
        <v>479966</v>
      </c>
      <c r="GA16" s="1">
        <v>112460</v>
      </c>
      <c r="GB16" s="1">
        <v>12092374</v>
      </c>
      <c r="GC16" s="1">
        <v>19250869</v>
      </c>
      <c r="GD16" s="1">
        <v>71208038</v>
      </c>
      <c r="GE16" s="1">
        <v>79041268</v>
      </c>
    </row>
    <row r="17" spans="1:187" s="3" customFormat="1" x14ac:dyDescent="0.25">
      <c r="A17" s="1">
        <v>20006</v>
      </c>
      <c r="B17" s="1">
        <v>0</v>
      </c>
      <c r="C17" s="3">
        <v>200466854</v>
      </c>
      <c r="D17" s="8" t="s">
        <v>115</v>
      </c>
      <c r="E17" s="4">
        <v>27</v>
      </c>
      <c r="F17" s="4">
        <v>22</v>
      </c>
      <c r="G17" s="4">
        <v>0</v>
      </c>
      <c r="H17" s="4">
        <v>8</v>
      </c>
      <c r="I17" s="8">
        <v>2018</v>
      </c>
      <c r="J17" s="1">
        <v>4</v>
      </c>
      <c r="K17" s="3" t="s">
        <v>0</v>
      </c>
      <c r="L17" s="1">
        <v>1</v>
      </c>
      <c r="M17" s="1">
        <v>30</v>
      </c>
      <c r="N17" s="5">
        <v>0</v>
      </c>
      <c r="O17" s="6">
        <v>43544.546898148146</v>
      </c>
      <c r="P17" s="1">
        <v>38932932</v>
      </c>
      <c r="Q17" s="1">
        <v>39502704</v>
      </c>
      <c r="R17" s="1">
        <v>23923877</v>
      </c>
      <c r="S17" s="1">
        <v>24901822</v>
      </c>
      <c r="T17" s="1">
        <v>15009055</v>
      </c>
      <c r="U17" s="1">
        <v>14600882</v>
      </c>
      <c r="V17" s="1"/>
      <c r="W17" s="1">
        <v>926625</v>
      </c>
      <c r="X17" s="1"/>
      <c r="Y17" s="1"/>
      <c r="Z17" s="1"/>
      <c r="AA17" s="1">
        <v>926625</v>
      </c>
      <c r="AB17" s="1">
        <v>1585976</v>
      </c>
      <c r="AC17" s="1">
        <v>1551476</v>
      </c>
      <c r="AD17" s="1">
        <v>536</v>
      </c>
      <c r="AE17" s="1">
        <v>536</v>
      </c>
      <c r="AF17" s="1"/>
      <c r="AG17" s="1"/>
      <c r="AH17" s="1"/>
      <c r="AI17" s="1"/>
      <c r="AJ17" s="1"/>
      <c r="AK17" s="1"/>
      <c r="AL17" s="1">
        <v>1585440</v>
      </c>
      <c r="AM17" s="1">
        <v>1550940</v>
      </c>
      <c r="AN17" s="1">
        <v>86875</v>
      </c>
      <c r="AO17" s="1">
        <v>90032</v>
      </c>
      <c r="AP17" s="1">
        <v>31000</v>
      </c>
      <c r="AQ17" s="1">
        <v>39370</v>
      </c>
      <c r="AR17" s="1">
        <v>303658</v>
      </c>
      <c r="AS17" s="1">
        <v>272151</v>
      </c>
      <c r="AT17" s="1"/>
      <c r="AU17" s="1"/>
      <c r="AV17" s="2">
        <v>17016564</v>
      </c>
      <c r="AW17" s="1">
        <v>17480536</v>
      </c>
      <c r="AX17" s="1">
        <v>16452963</v>
      </c>
      <c r="AY17" s="1">
        <v>23253138</v>
      </c>
      <c r="AZ17" s="1">
        <v>11836039</v>
      </c>
      <c r="BA17" s="1">
        <v>15902901</v>
      </c>
      <c r="BB17" s="1"/>
      <c r="BC17" s="1">
        <v>218545</v>
      </c>
      <c r="BD17" s="1">
        <v>4616924</v>
      </c>
      <c r="BE17" s="1">
        <v>7131692</v>
      </c>
      <c r="BF17" s="1"/>
      <c r="BG17" s="1"/>
      <c r="BH17" s="1">
        <v>9788</v>
      </c>
      <c r="BI17" s="1">
        <v>88373</v>
      </c>
      <c r="BJ17" s="1"/>
      <c r="BK17" s="1"/>
      <c r="BL17" s="1">
        <v>7348754</v>
      </c>
      <c r="BM17" s="1">
        <v>12413149</v>
      </c>
      <c r="BN17" s="1"/>
      <c r="BO17" s="1"/>
      <c r="BP17" s="1">
        <v>1151498</v>
      </c>
      <c r="BQ17" s="1">
        <v>159385</v>
      </c>
      <c r="BR17" s="1"/>
      <c r="BS17" s="1"/>
      <c r="BT17" s="1"/>
      <c r="BU17" s="1"/>
      <c r="BV17" s="1"/>
      <c r="BW17" s="1"/>
      <c r="BX17" s="1">
        <v>1408778</v>
      </c>
      <c r="BY17" s="1">
        <v>9076440</v>
      </c>
      <c r="BZ17" s="1">
        <v>921978</v>
      </c>
      <c r="CA17" s="1">
        <v>448085</v>
      </c>
      <c r="CB17" s="1"/>
      <c r="CC17" s="1">
        <v>14446</v>
      </c>
      <c r="CD17" s="1"/>
      <c r="CE17" s="1"/>
      <c r="CF17" s="1">
        <v>8692</v>
      </c>
      <c r="CG17" s="1">
        <v>86982</v>
      </c>
      <c r="CH17" s="1">
        <v>3857808</v>
      </c>
      <c r="CI17" s="1">
        <v>2627811</v>
      </c>
      <c r="CJ17" s="1">
        <v>15248287</v>
      </c>
      <c r="CK17" s="1">
        <v>16264021</v>
      </c>
      <c r="CL17" s="1"/>
      <c r="CM17" s="1"/>
      <c r="CN17" s="1">
        <v>783436</v>
      </c>
      <c r="CO17" s="1">
        <v>1088384</v>
      </c>
      <c r="CP17" s="1">
        <v>14454614</v>
      </c>
      <c r="CQ17" s="1">
        <v>15161537</v>
      </c>
      <c r="CR17" s="1">
        <v>10237</v>
      </c>
      <c r="CS17" s="1">
        <v>14100</v>
      </c>
      <c r="CT17" s="1">
        <v>944</v>
      </c>
      <c r="CU17" s="1">
        <v>820944</v>
      </c>
      <c r="CV17" s="1">
        <v>1761</v>
      </c>
      <c r="CW17" s="1">
        <v>1761</v>
      </c>
      <c r="CX17" s="2">
        <v>39062497</v>
      </c>
      <c r="CY17" s="1">
        <v>52841386</v>
      </c>
      <c r="CZ17" s="1">
        <v>56079061</v>
      </c>
      <c r="DA17" s="1">
        <v>70321922</v>
      </c>
      <c r="DB17" s="1">
        <v>8452563</v>
      </c>
      <c r="DC17" s="1">
        <v>8452563</v>
      </c>
      <c r="DD17" s="1">
        <v>13982173</v>
      </c>
      <c r="DE17" s="1">
        <v>13982173</v>
      </c>
      <c r="DF17" s="1">
        <v>11890634</v>
      </c>
      <c r="DG17" s="1">
        <v>11403381</v>
      </c>
      <c r="DH17" s="1"/>
      <c r="DI17" s="1"/>
      <c r="DJ17" s="1">
        <v>18841837</v>
      </c>
      <c r="DK17" s="1">
        <v>24391431</v>
      </c>
      <c r="DL17" s="24"/>
      <c r="DM17" s="24"/>
      <c r="DN17" s="1"/>
      <c r="DO17" s="1"/>
      <c r="DP17" s="2">
        <v>53167207</v>
      </c>
      <c r="DQ17" s="1">
        <v>58229548</v>
      </c>
      <c r="DR17" s="2"/>
      <c r="DS17" s="1">
        <v>606406</v>
      </c>
      <c r="DT17" s="1"/>
      <c r="DU17" s="1">
        <v>606406</v>
      </c>
      <c r="DV17" s="1"/>
      <c r="DW17" s="1">
        <v>606406</v>
      </c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2">
        <v>2911854</v>
      </c>
      <c r="EQ17" s="1">
        <v>11485968</v>
      </c>
      <c r="ER17" s="1">
        <v>2905854</v>
      </c>
      <c r="ES17" s="1">
        <v>7485968</v>
      </c>
      <c r="ET17" s="1"/>
      <c r="EU17" s="1"/>
      <c r="EV17" s="1">
        <v>352496</v>
      </c>
      <c r="EW17" s="1">
        <v>1377308</v>
      </c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>
        <v>178572</v>
      </c>
      <c r="FI17" s="1">
        <v>147615</v>
      </c>
      <c r="FJ17" s="1">
        <v>911150</v>
      </c>
      <c r="FK17" s="1">
        <v>2339696</v>
      </c>
      <c r="FL17" s="1"/>
      <c r="FM17" s="1"/>
      <c r="FN17" s="1">
        <v>264278</v>
      </c>
      <c r="FO17" s="1">
        <v>1334535</v>
      </c>
      <c r="FP17" s="1">
        <v>210021</v>
      </c>
      <c r="FQ17" s="1">
        <v>244538</v>
      </c>
      <c r="FR17" s="1">
        <v>700720</v>
      </c>
      <c r="FS17" s="1">
        <v>1562310</v>
      </c>
      <c r="FT17" s="1"/>
      <c r="FU17" s="1">
        <v>4000000</v>
      </c>
      <c r="FV17" s="1">
        <v>6000</v>
      </c>
      <c r="FW17" s="1"/>
      <c r="FX17" s="1"/>
      <c r="FY17" s="1"/>
      <c r="FZ17" s="1">
        <v>288617</v>
      </c>
      <c r="GA17" s="1">
        <v>479966</v>
      </c>
      <c r="GB17" s="1">
        <v>2911854</v>
      </c>
      <c r="GC17" s="1">
        <v>12092374</v>
      </c>
      <c r="GD17" s="1">
        <v>56079061</v>
      </c>
      <c r="GE17" s="1">
        <v>70321922</v>
      </c>
    </row>
    <row r="18" spans="1:187" s="3" customFormat="1" ht="12" x14ac:dyDescent="0.2">
      <c r="A18" s="1">
        <v>20006</v>
      </c>
      <c r="B18" s="1">
        <v>0</v>
      </c>
      <c r="C18" s="1">
        <v>200670095</v>
      </c>
      <c r="D18" s="1" t="s">
        <v>116</v>
      </c>
      <c r="E18" s="1">
        <v>10</v>
      </c>
      <c r="F18" s="1">
        <v>1</v>
      </c>
      <c r="G18" s="1">
        <v>0</v>
      </c>
      <c r="H18" s="1">
        <v>1</v>
      </c>
      <c r="I18" s="8">
        <v>2021</v>
      </c>
      <c r="J18" s="1">
        <v>4</v>
      </c>
      <c r="K18" s="1" t="s">
        <v>0</v>
      </c>
      <c r="L18" s="1">
        <v>2</v>
      </c>
      <c r="M18" s="1">
        <v>30</v>
      </c>
      <c r="N18" s="1">
        <v>0</v>
      </c>
      <c r="O18" s="1">
        <v>44621.452881944446</v>
      </c>
      <c r="P18" s="1">
        <v>38755239</v>
      </c>
      <c r="Q18" s="1">
        <v>41486818</v>
      </c>
      <c r="R18" s="1">
        <v>17301764</v>
      </c>
      <c r="S18" s="1">
        <v>19150112</v>
      </c>
      <c r="T18" s="1">
        <v>21453475</v>
      </c>
      <c r="U18" s="1">
        <v>22336706</v>
      </c>
      <c r="V18" s="1"/>
      <c r="W18" s="1"/>
      <c r="X18" s="1"/>
      <c r="Y18" s="1"/>
      <c r="Z18" s="1"/>
      <c r="AA18" s="1"/>
      <c r="AB18" s="1">
        <v>509341</v>
      </c>
      <c r="AC18" s="1">
        <v>509341</v>
      </c>
      <c r="AD18" s="1">
        <v>215004</v>
      </c>
      <c r="AE18" s="1">
        <v>215004</v>
      </c>
      <c r="AF18" s="1"/>
      <c r="AG18" s="1"/>
      <c r="AH18" s="1"/>
      <c r="AI18" s="1"/>
      <c r="AJ18" s="1">
        <v>11942</v>
      </c>
      <c r="AK18" s="1">
        <v>11942</v>
      </c>
      <c r="AL18" s="1">
        <v>282395</v>
      </c>
      <c r="AM18" s="1">
        <v>282395</v>
      </c>
      <c r="AN18" s="1">
        <v>588673</v>
      </c>
      <c r="AO18" s="1">
        <v>1982818</v>
      </c>
      <c r="AP18" s="1">
        <v>10383</v>
      </c>
      <c r="AQ18" s="1">
        <v>10383</v>
      </c>
      <c r="AR18" s="1">
        <v>373730</v>
      </c>
      <c r="AS18" s="1">
        <v>299376</v>
      </c>
      <c r="AT18" s="1"/>
      <c r="AU18" s="1"/>
      <c r="AV18" s="2">
        <v>22935602</v>
      </c>
      <c r="AW18" s="1">
        <v>25138624</v>
      </c>
      <c r="AX18" s="1">
        <v>35357080</v>
      </c>
      <c r="AY18" s="1">
        <v>49329800</v>
      </c>
      <c r="AZ18" s="1">
        <v>8849286</v>
      </c>
      <c r="BA18" s="1">
        <v>29709719</v>
      </c>
      <c r="BB18" s="1"/>
      <c r="BC18" s="1"/>
      <c r="BD18" s="1">
        <v>26507794</v>
      </c>
      <c r="BE18" s="1">
        <v>19620081</v>
      </c>
      <c r="BF18" s="1"/>
      <c r="BG18" s="1"/>
      <c r="BH18" s="1"/>
      <c r="BI18" s="1">
        <v>3489625</v>
      </c>
      <c r="BJ18" s="1"/>
      <c r="BK18" s="1"/>
      <c r="BL18" s="1">
        <v>8448636</v>
      </c>
      <c r="BM18" s="1">
        <v>33056011</v>
      </c>
      <c r="BN18" s="1">
        <v>1522422</v>
      </c>
      <c r="BO18" s="1">
        <v>10772721</v>
      </c>
      <c r="BP18" s="1">
        <v>548462</v>
      </c>
      <c r="BQ18" s="1">
        <v>306115</v>
      </c>
      <c r="BR18" s="1"/>
      <c r="BS18" s="1"/>
      <c r="BT18" s="1"/>
      <c r="BU18" s="1"/>
      <c r="BV18" s="1">
        <v>30446</v>
      </c>
      <c r="BW18" s="1">
        <v>22434</v>
      </c>
      <c r="BX18" s="1">
        <v>6404756</v>
      </c>
      <c r="BY18" s="1">
        <v>23976058</v>
      </c>
      <c r="BZ18" s="1">
        <v>1331998</v>
      </c>
      <c r="CA18" s="1">
        <v>8588531</v>
      </c>
      <c r="CB18" s="1">
        <v>114557</v>
      </c>
      <c r="CC18" s="1">
        <v>75832</v>
      </c>
      <c r="CD18" s="1"/>
      <c r="CE18" s="1"/>
      <c r="CF18" s="1"/>
      <c r="CG18" s="1"/>
      <c r="CH18" s="1">
        <v>18417</v>
      </c>
      <c r="CI18" s="1">
        <v>87041</v>
      </c>
      <c r="CJ18" s="1">
        <v>677</v>
      </c>
      <c r="CK18" s="1">
        <v>603476</v>
      </c>
      <c r="CL18" s="1">
        <v>427</v>
      </c>
      <c r="CM18" s="1">
        <v>603476</v>
      </c>
      <c r="CN18" s="1"/>
      <c r="CO18" s="1"/>
      <c r="CP18" s="1"/>
      <c r="CQ18" s="1"/>
      <c r="CR18" s="1">
        <v>250</v>
      </c>
      <c r="CS18" s="1"/>
      <c r="CT18" s="1">
        <v>26283</v>
      </c>
      <c r="CU18" s="1">
        <v>26283</v>
      </c>
      <c r="CV18" s="1"/>
      <c r="CW18" s="1">
        <v>12151188</v>
      </c>
      <c r="CX18" s="2">
        <v>43832676</v>
      </c>
      <c r="CY18" s="1">
        <v>98656383</v>
      </c>
      <c r="CZ18" s="1">
        <v>66768278</v>
      </c>
      <c r="DA18" s="1">
        <v>123795007</v>
      </c>
      <c r="DB18" s="1">
        <v>4772647</v>
      </c>
      <c r="DC18" s="1">
        <v>4772647</v>
      </c>
      <c r="DD18" s="1">
        <v>2707888</v>
      </c>
      <c r="DE18" s="1">
        <v>2707888</v>
      </c>
      <c r="DF18" s="1">
        <v>11998348</v>
      </c>
      <c r="DG18" s="1">
        <v>11985120</v>
      </c>
      <c r="DH18" s="1"/>
      <c r="DI18" s="1"/>
      <c r="DJ18" s="1">
        <v>-3992054</v>
      </c>
      <c r="DK18" s="1">
        <v>-13835557</v>
      </c>
      <c r="DL18" s="24">
        <v>2437191</v>
      </c>
      <c r="DM18" s="24">
        <v>28055601</v>
      </c>
      <c r="DN18" s="1"/>
      <c r="DO18" s="1"/>
      <c r="DP18" s="2">
        <v>17924020</v>
      </c>
      <c r="DQ18" s="1">
        <v>33685699</v>
      </c>
      <c r="DR18" s="2">
        <v>1016863</v>
      </c>
      <c r="DS18" s="1">
        <v>1016863</v>
      </c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>
        <v>1016863</v>
      </c>
      <c r="EM18" s="1">
        <v>1016863</v>
      </c>
      <c r="EN18" s="1"/>
      <c r="EO18" s="1"/>
      <c r="EP18" s="2">
        <v>47827395</v>
      </c>
      <c r="EQ18" s="1">
        <v>89092445</v>
      </c>
      <c r="ER18" s="1">
        <v>28087395</v>
      </c>
      <c r="ES18" s="1">
        <v>31097565</v>
      </c>
      <c r="ET18" s="1">
        <v>602683</v>
      </c>
      <c r="EU18" s="1">
        <v>23677476</v>
      </c>
      <c r="EV18" s="1">
        <v>25277643</v>
      </c>
      <c r="EW18" s="1">
        <v>28095664</v>
      </c>
      <c r="EX18" s="1"/>
      <c r="EY18" s="1"/>
      <c r="EZ18" s="1">
        <v>434742</v>
      </c>
      <c r="FA18" s="1">
        <v>426833</v>
      </c>
      <c r="FB18" s="1"/>
      <c r="FC18" s="1"/>
      <c r="FD18" s="1"/>
      <c r="FE18" s="1"/>
      <c r="FF18" s="1"/>
      <c r="FG18" s="1"/>
      <c r="FH18" s="1">
        <v>200297</v>
      </c>
      <c r="FI18" s="1">
        <v>294354</v>
      </c>
      <c r="FJ18" s="1">
        <v>66697</v>
      </c>
      <c r="FK18" s="1">
        <v>92505</v>
      </c>
      <c r="FL18" s="1"/>
      <c r="FM18" s="1">
        <v>2085</v>
      </c>
      <c r="FN18" s="1">
        <v>3627</v>
      </c>
      <c r="FO18" s="1"/>
      <c r="FP18" s="1">
        <v>1233472</v>
      </c>
      <c r="FQ18" s="1">
        <v>666715</v>
      </c>
      <c r="FR18" s="1">
        <v>763362</v>
      </c>
      <c r="FS18" s="1">
        <v>1408714</v>
      </c>
      <c r="FT18" s="1">
        <v>17000000</v>
      </c>
      <c r="FU18" s="1">
        <v>57994880</v>
      </c>
      <c r="FV18" s="1">
        <v>2740000</v>
      </c>
      <c r="FW18" s="1"/>
      <c r="FX18" s="1"/>
      <c r="FY18" s="1"/>
      <c r="FZ18" s="1">
        <v>107555</v>
      </c>
      <c r="GA18" s="1">
        <v>110695</v>
      </c>
      <c r="GB18" s="1">
        <v>48844258</v>
      </c>
      <c r="GC18" s="1">
        <v>90109308</v>
      </c>
      <c r="GD18" s="1">
        <v>66768278</v>
      </c>
      <c r="GE18" s="1">
        <v>123795007</v>
      </c>
    </row>
    <row r="19" spans="1:187" s="3" customFormat="1" ht="12" x14ac:dyDescent="0.2">
      <c r="A19" s="1">
        <v>20006</v>
      </c>
      <c r="B19" s="1">
        <v>0</v>
      </c>
      <c r="C19" s="1">
        <v>200670095</v>
      </c>
      <c r="D19" s="1" t="s">
        <v>116</v>
      </c>
      <c r="E19" s="1">
        <v>10</v>
      </c>
      <c r="F19" s="1">
        <v>1</v>
      </c>
      <c r="G19" s="1">
        <v>0</v>
      </c>
      <c r="H19" s="1">
        <v>1</v>
      </c>
      <c r="I19" s="8">
        <v>2020</v>
      </c>
      <c r="J19" s="1">
        <v>4</v>
      </c>
      <c r="K19" s="1" t="s">
        <v>0</v>
      </c>
      <c r="L19" s="1">
        <v>2</v>
      </c>
      <c r="M19" s="1">
        <v>30</v>
      </c>
      <c r="N19" s="1">
        <v>0</v>
      </c>
      <c r="O19" s="1">
        <v>44257.575752314813</v>
      </c>
      <c r="P19" s="1">
        <v>36554370</v>
      </c>
      <c r="Q19" s="1">
        <v>38755239</v>
      </c>
      <c r="R19" s="1">
        <v>15120747</v>
      </c>
      <c r="S19" s="1">
        <v>17301764</v>
      </c>
      <c r="T19" s="1">
        <v>21433623</v>
      </c>
      <c r="U19" s="1">
        <v>21453475</v>
      </c>
      <c r="V19" s="1"/>
      <c r="W19" s="1"/>
      <c r="X19" s="1"/>
      <c r="Y19" s="1"/>
      <c r="Z19" s="1"/>
      <c r="AA19" s="1"/>
      <c r="AB19" s="1">
        <v>509341</v>
      </c>
      <c r="AC19" s="1">
        <v>509341</v>
      </c>
      <c r="AD19" s="1">
        <v>215004</v>
      </c>
      <c r="AE19" s="1">
        <v>215004</v>
      </c>
      <c r="AF19" s="1"/>
      <c r="AG19" s="1"/>
      <c r="AH19" s="1"/>
      <c r="AI19" s="1"/>
      <c r="AJ19" s="1">
        <v>11942</v>
      </c>
      <c r="AK19" s="1">
        <v>11942</v>
      </c>
      <c r="AL19" s="1">
        <v>282395</v>
      </c>
      <c r="AM19" s="1">
        <v>282395</v>
      </c>
      <c r="AN19" s="1">
        <v>302740</v>
      </c>
      <c r="AO19" s="1">
        <v>588673</v>
      </c>
      <c r="AP19" s="1">
        <v>10383</v>
      </c>
      <c r="AQ19" s="1">
        <v>10383</v>
      </c>
      <c r="AR19" s="1">
        <v>523647</v>
      </c>
      <c r="AS19" s="1">
        <v>373730</v>
      </c>
      <c r="AT19" s="1"/>
      <c r="AU19" s="1"/>
      <c r="AV19" s="2">
        <v>22779734</v>
      </c>
      <c r="AW19" s="1">
        <v>22935602</v>
      </c>
      <c r="AX19" s="1">
        <v>28200670</v>
      </c>
      <c r="AY19" s="1">
        <v>35357080</v>
      </c>
      <c r="AZ19" s="1">
        <v>4456301</v>
      </c>
      <c r="BA19" s="1">
        <v>8849286</v>
      </c>
      <c r="BB19" s="1"/>
      <c r="BC19" s="1"/>
      <c r="BD19" s="1">
        <v>23744369</v>
      </c>
      <c r="BE19" s="1">
        <v>26507794</v>
      </c>
      <c r="BF19" s="1"/>
      <c r="BG19" s="1"/>
      <c r="BH19" s="1"/>
      <c r="BI19" s="1"/>
      <c r="BJ19" s="1"/>
      <c r="BK19" s="1"/>
      <c r="BL19" s="1">
        <v>7568598</v>
      </c>
      <c r="BM19" s="1">
        <v>8448636</v>
      </c>
      <c r="BN19" s="1">
        <v>5195141</v>
      </c>
      <c r="BO19" s="1">
        <v>1522422</v>
      </c>
      <c r="BP19" s="1">
        <v>1282780</v>
      </c>
      <c r="BQ19" s="1">
        <v>548462</v>
      </c>
      <c r="BR19" s="1"/>
      <c r="BS19" s="1"/>
      <c r="BT19" s="1">
        <v>6666</v>
      </c>
      <c r="BU19" s="1"/>
      <c r="BV19" s="1">
        <v>12874</v>
      </c>
      <c r="BW19" s="1">
        <v>30446</v>
      </c>
      <c r="BX19" s="1">
        <v>6224967</v>
      </c>
      <c r="BY19" s="1">
        <v>6404756</v>
      </c>
      <c r="BZ19" s="1">
        <v>32126</v>
      </c>
      <c r="CA19" s="1">
        <v>1331998</v>
      </c>
      <c r="CB19" s="1"/>
      <c r="CC19" s="1">
        <v>114557</v>
      </c>
      <c r="CD19" s="1"/>
      <c r="CE19" s="1"/>
      <c r="CF19" s="1"/>
      <c r="CG19" s="1"/>
      <c r="CH19" s="1">
        <v>9185</v>
      </c>
      <c r="CI19" s="1">
        <v>18417</v>
      </c>
      <c r="CJ19" s="1">
        <v>934254</v>
      </c>
      <c r="CK19" s="1">
        <v>677</v>
      </c>
      <c r="CL19" s="1"/>
      <c r="CM19" s="1"/>
      <c r="CN19" s="1">
        <v>905574</v>
      </c>
      <c r="CO19" s="1">
        <v>427</v>
      </c>
      <c r="CP19" s="1">
        <v>28680</v>
      </c>
      <c r="CQ19" s="1"/>
      <c r="CR19" s="1"/>
      <c r="CS19" s="1">
        <v>250</v>
      </c>
      <c r="CT19" s="1">
        <v>26283</v>
      </c>
      <c r="CU19" s="1">
        <v>26283</v>
      </c>
      <c r="CV19" s="1"/>
      <c r="CW19" s="1"/>
      <c r="CX19" s="2">
        <v>36729805</v>
      </c>
      <c r="CY19" s="1">
        <v>43832676</v>
      </c>
      <c r="CZ19" s="1">
        <v>59509539</v>
      </c>
      <c r="DA19" s="1">
        <v>66768278</v>
      </c>
      <c r="DB19" s="1">
        <v>4772647</v>
      </c>
      <c r="DC19" s="1">
        <v>4772647</v>
      </c>
      <c r="DD19" s="1">
        <v>2707888</v>
      </c>
      <c r="DE19" s="1">
        <v>2707888</v>
      </c>
      <c r="DF19" s="1">
        <v>10342534</v>
      </c>
      <c r="DG19" s="1">
        <v>11998348</v>
      </c>
      <c r="DH19" s="1"/>
      <c r="DI19" s="1"/>
      <c r="DJ19" s="1">
        <v>-4039924</v>
      </c>
      <c r="DK19" s="1">
        <v>-3992054</v>
      </c>
      <c r="DL19" s="24"/>
      <c r="DM19" s="24">
        <v>2437191</v>
      </c>
      <c r="DN19" s="1"/>
      <c r="DO19" s="1"/>
      <c r="DP19" s="2">
        <v>13783145</v>
      </c>
      <c r="DQ19" s="1">
        <v>17924020</v>
      </c>
      <c r="DR19" s="2">
        <v>422493</v>
      </c>
      <c r="DS19" s="1">
        <v>1016863</v>
      </c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>
        <v>422493</v>
      </c>
      <c r="EM19" s="1">
        <v>1016863</v>
      </c>
      <c r="EN19" s="1"/>
      <c r="EO19" s="1"/>
      <c r="EP19" s="2">
        <v>45303931</v>
      </c>
      <c r="EQ19" s="1">
        <v>47827395</v>
      </c>
      <c r="ER19" s="1">
        <v>32079402</v>
      </c>
      <c r="ES19" s="1">
        <v>28087395</v>
      </c>
      <c r="ET19" s="1">
        <v>2933741</v>
      </c>
      <c r="EU19" s="1">
        <v>602683</v>
      </c>
      <c r="EV19" s="1">
        <v>28229203</v>
      </c>
      <c r="EW19" s="1">
        <v>25277643</v>
      </c>
      <c r="EX19" s="1"/>
      <c r="EY19" s="1"/>
      <c r="EZ19" s="1">
        <v>434742</v>
      </c>
      <c r="FA19" s="1">
        <v>434742</v>
      </c>
      <c r="FB19" s="1"/>
      <c r="FC19" s="1"/>
      <c r="FD19" s="1"/>
      <c r="FE19" s="1"/>
      <c r="FF19" s="1"/>
      <c r="FG19" s="1"/>
      <c r="FH19" s="1">
        <v>314663</v>
      </c>
      <c r="FI19" s="1">
        <v>200297</v>
      </c>
      <c r="FJ19" s="1">
        <v>51700</v>
      </c>
      <c r="FK19" s="1">
        <v>66697</v>
      </c>
      <c r="FL19" s="1"/>
      <c r="FM19" s="1"/>
      <c r="FN19" s="1">
        <v>122904</v>
      </c>
      <c r="FO19" s="1">
        <v>3627</v>
      </c>
      <c r="FP19" s="1">
        <v>1732589</v>
      </c>
      <c r="FQ19" s="1">
        <v>1233472</v>
      </c>
      <c r="FR19" s="1">
        <v>1123636</v>
      </c>
      <c r="FS19" s="1">
        <v>763362</v>
      </c>
      <c r="FT19" s="1">
        <v>13224529</v>
      </c>
      <c r="FU19" s="1">
        <v>17000000</v>
      </c>
      <c r="FV19" s="1"/>
      <c r="FW19" s="1">
        <v>2740000</v>
      </c>
      <c r="FX19" s="1"/>
      <c r="FY19" s="1"/>
      <c r="FZ19" s="1">
        <v>69965</v>
      </c>
      <c r="GA19" s="1">
        <v>107555</v>
      </c>
      <c r="GB19" s="1">
        <v>45726424</v>
      </c>
      <c r="GC19" s="1">
        <v>48844258</v>
      </c>
      <c r="GD19" s="1">
        <v>59509569</v>
      </c>
      <c r="GE19" s="1">
        <v>66768278</v>
      </c>
    </row>
    <row r="20" spans="1:187" s="3" customFormat="1" ht="12" x14ac:dyDescent="0.2">
      <c r="A20" s="1">
        <v>20006</v>
      </c>
      <c r="B20" s="1">
        <v>0</v>
      </c>
      <c r="C20" s="1">
        <v>200670095</v>
      </c>
      <c r="D20" s="1" t="s">
        <v>116</v>
      </c>
      <c r="E20" s="1">
        <v>10</v>
      </c>
      <c r="F20" s="1">
        <v>1</v>
      </c>
      <c r="G20" s="1">
        <v>0</v>
      </c>
      <c r="H20" s="1">
        <v>1</v>
      </c>
      <c r="I20" s="8">
        <v>2019</v>
      </c>
      <c r="J20" s="1">
        <v>4</v>
      </c>
      <c r="K20" s="1" t="s">
        <v>0</v>
      </c>
      <c r="L20" s="1">
        <v>1</v>
      </c>
      <c r="M20" s="1">
        <v>30</v>
      </c>
      <c r="N20" s="1">
        <v>0</v>
      </c>
      <c r="O20" s="1">
        <v>43882.724282407406</v>
      </c>
      <c r="P20" s="1">
        <v>32192851</v>
      </c>
      <c r="Q20" s="1">
        <v>36554370</v>
      </c>
      <c r="R20" s="1">
        <v>13377959</v>
      </c>
      <c r="S20" s="1">
        <v>15120747</v>
      </c>
      <c r="T20" s="1">
        <v>18814892</v>
      </c>
      <c r="U20" s="1">
        <v>21433623</v>
      </c>
      <c r="V20" s="1"/>
      <c r="W20" s="1"/>
      <c r="X20" s="1"/>
      <c r="Y20" s="1"/>
      <c r="Z20" s="1"/>
      <c r="AA20" s="1"/>
      <c r="AB20" s="1">
        <v>732341</v>
      </c>
      <c r="AC20" s="1">
        <v>509341</v>
      </c>
      <c r="AD20" s="1">
        <v>215004</v>
      </c>
      <c r="AE20" s="1">
        <v>215004</v>
      </c>
      <c r="AF20" s="1"/>
      <c r="AG20" s="1"/>
      <c r="AH20" s="1"/>
      <c r="AI20" s="1"/>
      <c r="AJ20" s="1">
        <v>11942</v>
      </c>
      <c r="AK20" s="1">
        <v>11942</v>
      </c>
      <c r="AL20" s="1">
        <v>505395</v>
      </c>
      <c r="AM20" s="1">
        <v>282395</v>
      </c>
      <c r="AN20" s="1">
        <v>497788</v>
      </c>
      <c r="AO20" s="1">
        <v>302740</v>
      </c>
      <c r="AP20" s="1">
        <v>10383</v>
      </c>
      <c r="AQ20" s="1">
        <v>10383</v>
      </c>
      <c r="AR20" s="1">
        <v>555408</v>
      </c>
      <c r="AS20" s="1">
        <v>523647</v>
      </c>
      <c r="AT20" s="1"/>
      <c r="AU20" s="1"/>
      <c r="AV20" s="2">
        <v>20610812</v>
      </c>
      <c r="AW20" s="1">
        <v>22779734</v>
      </c>
      <c r="AX20" s="1">
        <v>25075365</v>
      </c>
      <c r="AY20" s="1">
        <v>28200670</v>
      </c>
      <c r="AZ20" s="1">
        <v>9446085</v>
      </c>
      <c r="BA20" s="1">
        <v>4456301</v>
      </c>
      <c r="BB20" s="1"/>
      <c r="BC20" s="1"/>
      <c r="BD20" s="1">
        <v>15629280</v>
      </c>
      <c r="BE20" s="1">
        <v>23744369</v>
      </c>
      <c r="BF20" s="1"/>
      <c r="BG20" s="1"/>
      <c r="BH20" s="1"/>
      <c r="BI20" s="1"/>
      <c r="BJ20" s="1"/>
      <c r="BK20" s="1"/>
      <c r="BL20" s="1">
        <v>9836674</v>
      </c>
      <c r="BM20" s="1">
        <v>7568598</v>
      </c>
      <c r="BN20" s="1">
        <v>843875</v>
      </c>
      <c r="BO20" s="1">
        <v>5195141</v>
      </c>
      <c r="BP20" s="1">
        <v>242076</v>
      </c>
      <c r="BQ20" s="1">
        <v>1282780</v>
      </c>
      <c r="BR20" s="1"/>
      <c r="BS20" s="1"/>
      <c r="BT20" s="1">
        <v>51188</v>
      </c>
      <c r="BU20" s="1">
        <v>6666</v>
      </c>
      <c r="BV20" s="1">
        <v>47463</v>
      </c>
      <c r="BW20" s="1">
        <v>12874</v>
      </c>
      <c r="BX20" s="1">
        <v>8221968</v>
      </c>
      <c r="BY20" s="1">
        <v>6224967</v>
      </c>
      <c r="BZ20" s="1">
        <v>1262466</v>
      </c>
      <c r="CA20" s="1">
        <v>32126</v>
      </c>
      <c r="CB20" s="1"/>
      <c r="CC20" s="1"/>
      <c r="CD20" s="1"/>
      <c r="CE20" s="1"/>
      <c r="CF20" s="1"/>
      <c r="CG20" s="1"/>
      <c r="CH20" s="1">
        <v>11513</v>
      </c>
      <c r="CI20" s="1">
        <v>9185</v>
      </c>
      <c r="CJ20" s="1">
        <v>4340687</v>
      </c>
      <c r="CK20" s="1">
        <v>934254</v>
      </c>
      <c r="CL20" s="1"/>
      <c r="CM20" s="1"/>
      <c r="CN20" s="1">
        <v>572</v>
      </c>
      <c r="CO20" s="1">
        <v>905574</v>
      </c>
      <c r="CP20" s="1">
        <v>4335013</v>
      </c>
      <c r="CQ20" s="1">
        <v>28680</v>
      </c>
      <c r="CR20" s="1">
        <v>5102</v>
      </c>
      <c r="CS20" s="1"/>
      <c r="CT20" s="1">
        <v>26283</v>
      </c>
      <c r="CU20" s="1">
        <v>26283</v>
      </c>
      <c r="CV20" s="1"/>
      <c r="CW20" s="1"/>
      <c r="CX20" s="2">
        <v>39279009</v>
      </c>
      <c r="CY20" s="1">
        <v>36729805</v>
      </c>
      <c r="CZ20" s="1">
        <v>59889821</v>
      </c>
      <c r="DA20" s="1">
        <v>59509539</v>
      </c>
      <c r="DB20" s="1">
        <v>4772647</v>
      </c>
      <c r="DC20" s="1">
        <v>4772647</v>
      </c>
      <c r="DD20" s="1">
        <v>2707888</v>
      </c>
      <c r="DE20" s="1">
        <v>2707888</v>
      </c>
      <c r="DF20" s="1">
        <v>10247646</v>
      </c>
      <c r="DG20" s="1">
        <v>10342534</v>
      </c>
      <c r="DH20" s="1"/>
      <c r="DI20" s="1"/>
      <c r="DJ20" s="1">
        <v>6390216</v>
      </c>
      <c r="DK20" s="1">
        <v>-4039924</v>
      </c>
      <c r="DL20" s="24"/>
      <c r="DM20" s="24"/>
      <c r="DN20" s="1"/>
      <c r="DO20" s="1"/>
      <c r="DP20" s="2">
        <v>24118397</v>
      </c>
      <c r="DQ20" s="1">
        <v>13783145</v>
      </c>
      <c r="DR20" s="2">
        <v>2878900</v>
      </c>
      <c r="DS20" s="1">
        <v>422493</v>
      </c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>
        <v>1900000</v>
      </c>
      <c r="EK20" s="1"/>
      <c r="EL20" s="1">
        <v>978900</v>
      </c>
      <c r="EM20" s="1">
        <v>422493</v>
      </c>
      <c r="EN20" s="1"/>
      <c r="EO20" s="1"/>
      <c r="EP20" s="2">
        <v>32892524</v>
      </c>
      <c r="EQ20" s="1">
        <v>45303901</v>
      </c>
      <c r="ER20" s="1">
        <v>9868252</v>
      </c>
      <c r="ES20" s="1">
        <v>32079372</v>
      </c>
      <c r="ET20" s="1"/>
      <c r="EU20" s="1">
        <v>2933741</v>
      </c>
      <c r="EV20" s="1">
        <v>6140150</v>
      </c>
      <c r="EW20" s="1">
        <v>28229203</v>
      </c>
      <c r="EX20" s="1"/>
      <c r="EY20" s="1"/>
      <c r="EZ20" s="1">
        <v>593217</v>
      </c>
      <c r="FA20" s="1">
        <v>434742</v>
      </c>
      <c r="FB20" s="1"/>
      <c r="FC20" s="1"/>
      <c r="FD20" s="1"/>
      <c r="FE20" s="1"/>
      <c r="FF20" s="1"/>
      <c r="FG20" s="1"/>
      <c r="FH20" s="1">
        <v>999805</v>
      </c>
      <c r="FI20" s="1">
        <v>314633</v>
      </c>
      <c r="FJ20" s="1">
        <v>426748</v>
      </c>
      <c r="FK20" s="1">
        <v>51700</v>
      </c>
      <c r="FL20" s="1">
        <v>47734</v>
      </c>
      <c r="FM20" s="1"/>
      <c r="FN20" s="1">
        <v>499023</v>
      </c>
      <c r="FO20" s="1">
        <v>122904</v>
      </c>
      <c r="FP20" s="1">
        <v>727605</v>
      </c>
      <c r="FQ20" s="1">
        <v>1732589</v>
      </c>
      <c r="FR20" s="1">
        <v>398054</v>
      </c>
      <c r="FS20" s="1">
        <v>1123636</v>
      </c>
      <c r="FT20" s="1">
        <v>23024272</v>
      </c>
      <c r="FU20" s="1">
        <v>13224529</v>
      </c>
      <c r="FV20" s="1"/>
      <c r="FW20" s="1"/>
      <c r="FX20" s="1"/>
      <c r="FY20" s="1"/>
      <c r="FZ20" s="1">
        <v>35916</v>
      </c>
      <c r="GA20" s="1">
        <v>69965</v>
      </c>
      <c r="GB20" s="1">
        <v>35771424</v>
      </c>
      <c r="GC20" s="1">
        <v>45726394</v>
      </c>
      <c r="GD20" s="1">
        <v>59889821</v>
      </c>
      <c r="GE20" s="1">
        <v>59509539</v>
      </c>
    </row>
    <row r="21" spans="1:187" s="3" customFormat="1" x14ac:dyDescent="0.25">
      <c r="A21" s="1">
        <v>20006</v>
      </c>
      <c r="B21" s="1">
        <v>0</v>
      </c>
      <c r="C21" s="3">
        <v>200670095</v>
      </c>
      <c r="D21" s="8" t="s">
        <v>116</v>
      </c>
      <c r="E21" s="4">
        <v>10</v>
      </c>
      <c r="F21" s="4">
        <v>1</v>
      </c>
      <c r="G21" s="4">
        <v>0</v>
      </c>
      <c r="H21" s="4">
        <v>1</v>
      </c>
      <c r="I21" s="8">
        <v>2018</v>
      </c>
      <c r="J21" s="1">
        <v>4</v>
      </c>
      <c r="K21" s="3" t="s">
        <v>0</v>
      </c>
      <c r="L21" s="1">
        <v>1</v>
      </c>
      <c r="M21" s="1">
        <v>30</v>
      </c>
      <c r="N21" s="5">
        <v>0</v>
      </c>
      <c r="O21" s="6">
        <v>43511.626203703701</v>
      </c>
      <c r="P21" s="1">
        <v>29022058</v>
      </c>
      <c r="Q21" s="1">
        <v>30225010</v>
      </c>
      <c r="R21" s="1">
        <v>12024197</v>
      </c>
      <c r="S21" s="1">
        <v>12821659</v>
      </c>
      <c r="T21" s="1">
        <v>16997861</v>
      </c>
      <c r="U21" s="1">
        <v>17403351</v>
      </c>
      <c r="V21" s="1"/>
      <c r="W21" s="1"/>
      <c r="X21" s="1"/>
      <c r="Y21" s="1"/>
      <c r="Z21" s="1"/>
      <c r="AA21" s="1"/>
      <c r="AB21" s="1">
        <v>766841</v>
      </c>
      <c r="AC21" s="1">
        <v>732341</v>
      </c>
      <c r="AD21" s="1">
        <v>215004</v>
      </c>
      <c r="AE21" s="1">
        <v>215004</v>
      </c>
      <c r="AF21" s="1"/>
      <c r="AG21" s="1"/>
      <c r="AH21" s="1"/>
      <c r="AI21" s="1"/>
      <c r="AJ21" s="1">
        <v>11942</v>
      </c>
      <c r="AK21" s="1">
        <v>11942</v>
      </c>
      <c r="AL21" s="1">
        <v>539895</v>
      </c>
      <c r="AM21" s="1">
        <v>505395</v>
      </c>
      <c r="AN21" s="1">
        <v>513260</v>
      </c>
      <c r="AO21" s="1">
        <v>497788</v>
      </c>
      <c r="AP21" s="1">
        <v>10383</v>
      </c>
      <c r="AQ21" s="1">
        <v>10383</v>
      </c>
      <c r="AR21" s="1">
        <v>578029</v>
      </c>
      <c r="AS21" s="1">
        <v>555408</v>
      </c>
      <c r="AT21" s="1"/>
      <c r="AU21" s="1"/>
      <c r="AV21" s="2">
        <v>18866374</v>
      </c>
      <c r="AW21" s="1">
        <v>19199271</v>
      </c>
      <c r="AX21" s="1">
        <v>10412913</v>
      </c>
      <c r="AY21" s="1">
        <v>25075365</v>
      </c>
      <c r="AZ21" s="1">
        <v>6725532</v>
      </c>
      <c r="BA21" s="1">
        <v>9446085</v>
      </c>
      <c r="BB21" s="1"/>
      <c r="BC21" s="1"/>
      <c r="BD21" s="1">
        <v>3687381</v>
      </c>
      <c r="BE21" s="1">
        <v>15629280</v>
      </c>
      <c r="BF21" s="1"/>
      <c r="BG21" s="1"/>
      <c r="BH21" s="1"/>
      <c r="BI21" s="1"/>
      <c r="BJ21" s="1"/>
      <c r="BK21" s="1"/>
      <c r="BL21" s="1">
        <v>4364393</v>
      </c>
      <c r="BM21" s="1">
        <v>9836674</v>
      </c>
      <c r="BN21" s="1">
        <v>347597</v>
      </c>
      <c r="BO21" s="1">
        <v>843875</v>
      </c>
      <c r="BP21" s="1">
        <v>236062</v>
      </c>
      <c r="BQ21" s="1">
        <v>242076</v>
      </c>
      <c r="BR21" s="1"/>
      <c r="BS21" s="1"/>
      <c r="BT21" s="1">
        <v>1245671</v>
      </c>
      <c r="BU21" s="1">
        <v>51188</v>
      </c>
      <c r="BV21" s="1">
        <v>68023</v>
      </c>
      <c r="BW21" s="1">
        <v>47463</v>
      </c>
      <c r="BX21" s="1">
        <v>2517022</v>
      </c>
      <c r="BY21" s="1">
        <v>8221968</v>
      </c>
      <c r="BZ21" s="1">
        <v>265298</v>
      </c>
      <c r="CA21" s="1">
        <v>1262466</v>
      </c>
      <c r="CB21" s="1"/>
      <c r="CC21" s="1"/>
      <c r="CD21" s="1"/>
      <c r="CE21" s="1"/>
      <c r="CF21" s="1"/>
      <c r="CG21" s="1"/>
      <c r="CH21" s="1">
        <v>32317</v>
      </c>
      <c r="CI21" s="1">
        <v>11513</v>
      </c>
      <c r="CJ21" s="1">
        <v>7274295</v>
      </c>
      <c r="CK21" s="1">
        <v>4340687</v>
      </c>
      <c r="CL21" s="1"/>
      <c r="CM21" s="1"/>
      <c r="CN21" s="1">
        <v>13007</v>
      </c>
      <c r="CO21" s="1">
        <v>572</v>
      </c>
      <c r="CP21" s="1">
        <v>7248247</v>
      </c>
      <c r="CQ21" s="1">
        <v>4335013</v>
      </c>
      <c r="CR21" s="1">
        <v>13041</v>
      </c>
      <c r="CS21" s="1">
        <v>5102</v>
      </c>
      <c r="CT21" s="1">
        <v>26283</v>
      </c>
      <c r="CU21" s="1">
        <v>26283</v>
      </c>
      <c r="CV21" s="1"/>
      <c r="CW21" s="1"/>
      <c r="CX21" s="2">
        <v>22077884</v>
      </c>
      <c r="CY21" s="1">
        <v>39279009</v>
      </c>
      <c r="CZ21" s="1">
        <v>40944258</v>
      </c>
      <c r="DA21" s="1">
        <v>58478280</v>
      </c>
      <c r="DB21" s="1">
        <v>4772647</v>
      </c>
      <c r="DC21" s="1">
        <v>4772647</v>
      </c>
      <c r="DD21" s="1">
        <v>2707888</v>
      </c>
      <c r="DE21" s="1">
        <v>2707888</v>
      </c>
      <c r="DF21" s="1">
        <v>8704826</v>
      </c>
      <c r="DG21" s="1">
        <v>8836105</v>
      </c>
      <c r="DH21" s="1"/>
      <c r="DI21" s="1"/>
      <c r="DJ21" s="1">
        <v>5972767</v>
      </c>
      <c r="DK21" s="1">
        <v>6390216</v>
      </c>
      <c r="DL21" s="24"/>
      <c r="DM21" s="24"/>
      <c r="DN21" s="1"/>
      <c r="DO21" s="1"/>
      <c r="DP21" s="2">
        <v>22158128</v>
      </c>
      <c r="DQ21" s="1">
        <v>22706856</v>
      </c>
      <c r="DR21" s="2">
        <v>1117220</v>
      </c>
      <c r="DS21" s="1">
        <v>2878900</v>
      </c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>
        <v>649773</v>
      </c>
      <c r="EK21" s="1">
        <v>1900000</v>
      </c>
      <c r="EL21" s="1">
        <v>467447</v>
      </c>
      <c r="EM21" s="1">
        <v>978900</v>
      </c>
      <c r="EN21" s="1"/>
      <c r="EO21" s="1"/>
      <c r="EP21" s="2">
        <v>17668910</v>
      </c>
      <c r="EQ21" s="1">
        <v>32892524</v>
      </c>
      <c r="ER21" s="1">
        <v>8978910</v>
      </c>
      <c r="ES21" s="1">
        <v>9868252</v>
      </c>
      <c r="ET21" s="1"/>
      <c r="EU21" s="1"/>
      <c r="EV21" s="1">
        <v>2004504</v>
      </c>
      <c r="EW21" s="1">
        <v>6140150</v>
      </c>
      <c r="EX21" s="1"/>
      <c r="EY21" s="1"/>
      <c r="EZ21" s="1">
        <v>1235305</v>
      </c>
      <c r="FA21" s="1">
        <v>593217</v>
      </c>
      <c r="FB21" s="1"/>
      <c r="FC21" s="1"/>
      <c r="FD21" s="1"/>
      <c r="FE21" s="1"/>
      <c r="FF21" s="1"/>
      <c r="FG21" s="1"/>
      <c r="FH21" s="1">
        <v>53719</v>
      </c>
      <c r="FI21" s="1">
        <v>999805</v>
      </c>
      <c r="FJ21" s="1">
        <v>3319504</v>
      </c>
      <c r="FK21" s="1">
        <v>426748</v>
      </c>
      <c r="FL21" s="1">
        <v>39918</v>
      </c>
      <c r="FM21" s="1">
        <v>47734</v>
      </c>
      <c r="FN21" s="1">
        <v>867171</v>
      </c>
      <c r="FO21" s="1">
        <v>499023</v>
      </c>
      <c r="FP21" s="1">
        <v>1111142</v>
      </c>
      <c r="FQ21" s="1">
        <v>727605</v>
      </c>
      <c r="FR21" s="1">
        <v>330691</v>
      </c>
      <c r="FS21" s="1">
        <v>398054</v>
      </c>
      <c r="FT21" s="1"/>
      <c r="FU21" s="1">
        <v>23024272</v>
      </c>
      <c r="FV21" s="1"/>
      <c r="FW21" s="1"/>
      <c r="FX21" s="1">
        <v>8690000</v>
      </c>
      <c r="FY21" s="1"/>
      <c r="FZ21" s="1">
        <v>16956</v>
      </c>
      <c r="GA21" s="1">
        <v>35916</v>
      </c>
      <c r="GB21" s="1">
        <v>18786130</v>
      </c>
      <c r="GC21" s="1">
        <v>35771424</v>
      </c>
      <c r="GD21" s="1">
        <v>40944258</v>
      </c>
      <c r="GE21" s="1">
        <v>58478280</v>
      </c>
    </row>
    <row r="22" spans="1:187" s="3" customFormat="1" ht="12" x14ac:dyDescent="0.2">
      <c r="A22" s="1">
        <v>20006</v>
      </c>
      <c r="B22" s="1">
        <v>0</v>
      </c>
      <c r="C22" s="1">
        <v>200930049</v>
      </c>
      <c r="D22" s="1" t="s">
        <v>117</v>
      </c>
      <c r="E22" s="1">
        <v>35</v>
      </c>
      <c r="F22" s="1">
        <v>9</v>
      </c>
      <c r="G22" s="1">
        <v>0</v>
      </c>
      <c r="H22" s="1">
        <v>1</v>
      </c>
      <c r="I22" s="8">
        <v>2021</v>
      </c>
      <c r="J22" s="1">
        <v>4</v>
      </c>
      <c r="K22" s="1" t="s">
        <v>0</v>
      </c>
      <c r="L22" s="1">
        <v>2</v>
      </c>
      <c r="M22" s="1">
        <v>30</v>
      </c>
      <c r="N22" s="1">
        <v>0</v>
      </c>
      <c r="O22" s="1">
        <v>44664.437986111108</v>
      </c>
      <c r="P22" s="1">
        <v>10176690</v>
      </c>
      <c r="Q22" s="1">
        <v>10203817</v>
      </c>
      <c r="R22" s="1">
        <v>7071583</v>
      </c>
      <c r="S22" s="1">
        <v>7379656</v>
      </c>
      <c r="T22" s="1">
        <v>3105107</v>
      </c>
      <c r="U22" s="1">
        <v>2824161</v>
      </c>
      <c r="V22" s="1">
        <v>15049</v>
      </c>
      <c r="W22" s="1">
        <v>15049</v>
      </c>
      <c r="X22" s="1">
        <v>2947</v>
      </c>
      <c r="Y22" s="1">
        <v>3699</v>
      </c>
      <c r="Z22" s="1">
        <v>12102</v>
      </c>
      <c r="AA22" s="1">
        <v>11350</v>
      </c>
      <c r="AB22" s="1">
        <v>151215</v>
      </c>
      <c r="AC22" s="1">
        <v>151215</v>
      </c>
      <c r="AD22" s="1">
        <v>1215</v>
      </c>
      <c r="AE22" s="1">
        <v>1215</v>
      </c>
      <c r="AF22" s="1">
        <v>150000</v>
      </c>
      <c r="AG22" s="1">
        <v>150000</v>
      </c>
      <c r="AH22" s="1"/>
      <c r="AI22" s="1"/>
      <c r="AJ22" s="1"/>
      <c r="AK22" s="1"/>
      <c r="AL22" s="1"/>
      <c r="AM22" s="1"/>
      <c r="AN22" s="1"/>
      <c r="AO22" s="1"/>
      <c r="AP22" s="1">
        <v>426716</v>
      </c>
      <c r="AQ22" s="1">
        <v>512888</v>
      </c>
      <c r="AR22" s="1">
        <v>163020</v>
      </c>
      <c r="AS22" s="1">
        <v>110789</v>
      </c>
      <c r="AT22" s="1"/>
      <c r="AU22" s="1"/>
      <c r="AV22" s="2">
        <v>3858160</v>
      </c>
      <c r="AW22" s="1">
        <v>3610403</v>
      </c>
      <c r="AX22" s="1">
        <v>6429817</v>
      </c>
      <c r="AY22" s="1">
        <v>6485315</v>
      </c>
      <c r="AZ22" s="1">
        <v>4093609</v>
      </c>
      <c r="BA22" s="1">
        <v>1822448</v>
      </c>
      <c r="BB22" s="1"/>
      <c r="BC22" s="1">
        <v>1859681</v>
      </c>
      <c r="BD22" s="1">
        <v>2336208</v>
      </c>
      <c r="BE22" s="1">
        <v>2803186</v>
      </c>
      <c r="BF22" s="1"/>
      <c r="BG22" s="1"/>
      <c r="BH22" s="1"/>
      <c r="BI22" s="1"/>
      <c r="BJ22" s="1"/>
      <c r="BK22" s="1"/>
      <c r="BL22" s="1">
        <v>4839014</v>
      </c>
      <c r="BM22" s="1">
        <v>3465451</v>
      </c>
      <c r="BN22" s="1"/>
      <c r="BO22" s="1"/>
      <c r="BP22" s="1">
        <v>1724868</v>
      </c>
      <c r="BQ22" s="1">
        <v>918473</v>
      </c>
      <c r="BR22" s="1"/>
      <c r="BS22" s="1"/>
      <c r="BT22" s="1"/>
      <c r="BU22" s="1"/>
      <c r="BV22" s="1">
        <v>237404</v>
      </c>
      <c r="BW22" s="1">
        <v>7333</v>
      </c>
      <c r="BX22" s="1">
        <v>75408</v>
      </c>
      <c r="BY22" s="1">
        <v>1699394</v>
      </c>
      <c r="BZ22" s="1">
        <v>2753537</v>
      </c>
      <c r="CA22" s="1">
        <v>449530</v>
      </c>
      <c r="CB22" s="1">
        <v>47797</v>
      </c>
      <c r="CC22" s="1">
        <v>45412</v>
      </c>
      <c r="CD22" s="1"/>
      <c r="CE22" s="1"/>
      <c r="CF22" s="1"/>
      <c r="CG22" s="1"/>
      <c r="CH22" s="1"/>
      <c r="CI22" s="1">
        <v>345309</v>
      </c>
      <c r="CJ22" s="1">
        <v>16037</v>
      </c>
      <c r="CK22" s="1">
        <v>4716</v>
      </c>
      <c r="CL22" s="1"/>
      <c r="CM22" s="1"/>
      <c r="CN22" s="1">
        <v>8295</v>
      </c>
      <c r="CO22" s="1">
        <v>1967</v>
      </c>
      <c r="CP22" s="1"/>
      <c r="CQ22" s="1">
        <v>2749</v>
      </c>
      <c r="CR22" s="1">
        <v>7742</v>
      </c>
      <c r="CS22" s="1"/>
      <c r="CT22" s="1"/>
      <c r="CU22" s="1"/>
      <c r="CV22" s="1"/>
      <c r="CW22" s="1"/>
      <c r="CX22" s="2">
        <v>11284868</v>
      </c>
      <c r="CY22" s="1">
        <v>9955482</v>
      </c>
      <c r="CZ22" s="1">
        <v>15143028</v>
      </c>
      <c r="DA22" s="1">
        <v>13565885</v>
      </c>
      <c r="DB22" s="1">
        <v>4093375</v>
      </c>
      <c r="DC22" s="1">
        <v>4093375</v>
      </c>
      <c r="DD22" s="1"/>
      <c r="DE22" s="1"/>
      <c r="DF22" s="1">
        <v>3153869</v>
      </c>
      <c r="DG22" s="1">
        <v>1677036</v>
      </c>
      <c r="DH22" s="1"/>
      <c r="DI22" s="1"/>
      <c r="DJ22" s="1">
        <v>1962589</v>
      </c>
      <c r="DK22" s="1">
        <v>45347</v>
      </c>
      <c r="DL22" s="24"/>
      <c r="DM22" s="24"/>
      <c r="DN22" s="1">
        <v>3716069</v>
      </c>
      <c r="DO22" s="1"/>
      <c r="DP22" s="2">
        <v>12925902</v>
      </c>
      <c r="DQ22" s="1">
        <v>5815758</v>
      </c>
      <c r="DR22" s="2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2">
        <v>2217126</v>
      </c>
      <c r="EQ22" s="1">
        <v>7750127</v>
      </c>
      <c r="ER22" s="1">
        <v>2017126</v>
      </c>
      <c r="ES22" s="1">
        <v>7368309</v>
      </c>
      <c r="ET22" s="1"/>
      <c r="EU22" s="1"/>
      <c r="EV22" s="1">
        <v>1033119</v>
      </c>
      <c r="EW22" s="1">
        <v>1096467</v>
      </c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>
        <v>5079908</v>
      </c>
      <c r="FJ22" s="1">
        <v>364245</v>
      </c>
      <c r="FK22" s="1">
        <v>295255</v>
      </c>
      <c r="FL22" s="1"/>
      <c r="FM22" s="1"/>
      <c r="FN22" s="1">
        <v>351185</v>
      </c>
      <c r="FO22" s="1">
        <v>1828</v>
      </c>
      <c r="FP22" s="1"/>
      <c r="FQ22" s="1">
        <v>171263</v>
      </c>
      <c r="FR22" s="1">
        <v>192300</v>
      </c>
      <c r="FS22" s="1">
        <v>487764</v>
      </c>
      <c r="FT22" s="1"/>
      <c r="FU22" s="1">
        <v>181818</v>
      </c>
      <c r="FV22" s="1">
        <v>200000</v>
      </c>
      <c r="FW22" s="1">
        <v>200000</v>
      </c>
      <c r="FX22" s="1"/>
      <c r="FY22" s="1"/>
      <c r="FZ22" s="1">
        <v>76277</v>
      </c>
      <c r="GA22" s="1">
        <v>235824</v>
      </c>
      <c r="GB22" s="1">
        <v>2217126</v>
      </c>
      <c r="GC22" s="1">
        <v>7750127</v>
      </c>
      <c r="GD22" s="1">
        <v>15143028</v>
      </c>
      <c r="GE22" s="1">
        <v>13565885</v>
      </c>
    </row>
    <row r="23" spans="1:187" s="3" customFormat="1" ht="12" x14ac:dyDescent="0.2">
      <c r="A23" s="1">
        <v>60131</v>
      </c>
      <c r="B23" s="1">
        <v>0</v>
      </c>
      <c r="C23" s="1">
        <v>200930049</v>
      </c>
      <c r="D23" s="1" t="s">
        <v>117</v>
      </c>
      <c r="E23" s="1">
        <v>35</v>
      </c>
      <c r="F23" s="1">
        <v>9</v>
      </c>
      <c r="G23" s="1">
        <v>0</v>
      </c>
      <c r="H23" s="1">
        <v>1</v>
      </c>
      <c r="I23" s="8">
        <v>2020</v>
      </c>
      <c r="J23" s="1">
        <v>4</v>
      </c>
      <c r="K23" s="1" t="s">
        <v>0</v>
      </c>
      <c r="L23" s="1">
        <v>1</v>
      </c>
      <c r="M23" s="1">
        <v>30</v>
      </c>
      <c r="N23" s="1">
        <v>0</v>
      </c>
      <c r="O23" s="1">
        <v>44209.598101851851</v>
      </c>
      <c r="P23" s="1">
        <v>10176690</v>
      </c>
      <c r="Q23" s="1">
        <v>10176690</v>
      </c>
      <c r="R23" s="1">
        <v>6980732</v>
      </c>
      <c r="S23" s="1">
        <v>7071583</v>
      </c>
      <c r="T23" s="1">
        <v>3195958</v>
      </c>
      <c r="U23" s="1">
        <v>3105107</v>
      </c>
      <c r="V23" s="1">
        <v>15049</v>
      </c>
      <c r="W23" s="1">
        <v>15049</v>
      </c>
      <c r="X23" s="1">
        <v>2759</v>
      </c>
      <c r="Y23" s="1">
        <v>2947</v>
      </c>
      <c r="Z23" s="1">
        <v>12290</v>
      </c>
      <c r="AA23" s="1">
        <v>12102</v>
      </c>
      <c r="AB23" s="1">
        <v>151251</v>
      </c>
      <c r="AC23" s="1">
        <v>151251</v>
      </c>
      <c r="AD23" s="1">
        <v>1251</v>
      </c>
      <c r="AE23" s="1">
        <v>1251</v>
      </c>
      <c r="AF23" s="1">
        <v>150000</v>
      </c>
      <c r="AG23" s="1">
        <v>150000</v>
      </c>
      <c r="AH23" s="1">
        <v>0</v>
      </c>
      <c r="AI23" s="1"/>
      <c r="AJ23" s="1">
        <v>0</v>
      </c>
      <c r="AK23" s="1"/>
      <c r="AL23" s="1">
        <v>0</v>
      </c>
      <c r="AM23" s="1"/>
      <c r="AN23" s="1">
        <v>0</v>
      </c>
      <c r="AO23" s="1"/>
      <c r="AP23" s="1">
        <v>426716</v>
      </c>
      <c r="AQ23" s="1">
        <v>426716</v>
      </c>
      <c r="AR23" s="1">
        <v>202465</v>
      </c>
      <c r="AS23" s="1">
        <v>163020</v>
      </c>
      <c r="AT23" s="1">
        <v>0</v>
      </c>
      <c r="AU23" s="1"/>
      <c r="AV23" s="2">
        <v>3988680</v>
      </c>
      <c r="AW23" s="1">
        <v>3858196</v>
      </c>
      <c r="AX23" s="1">
        <v>8492107</v>
      </c>
      <c r="AY23" s="1">
        <v>6429817</v>
      </c>
      <c r="AZ23" s="1">
        <v>5620014</v>
      </c>
      <c r="BA23" s="1">
        <v>4093609</v>
      </c>
      <c r="BB23" s="1">
        <v>0</v>
      </c>
      <c r="BC23" s="1"/>
      <c r="BD23" s="1">
        <v>2872093</v>
      </c>
      <c r="BE23" s="1">
        <v>2336208</v>
      </c>
      <c r="BF23" s="1">
        <v>0</v>
      </c>
      <c r="BG23" s="1"/>
      <c r="BH23" s="1">
        <v>0</v>
      </c>
      <c r="BI23" s="1"/>
      <c r="BJ23" s="1">
        <v>0</v>
      </c>
      <c r="BK23" s="1"/>
      <c r="BL23" s="1">
        <v>4772154</v>
      </c>
      <c r="BM23" s="1">
        <v>4839014</v>
      </c>
      <c r="BN23" s="1">
        <v>0</v>
      </c>
      <c r="BO23" s="1"/>
      <c r="BP23" s="1">
        <v>1770515</v>
      </c>
      <c r="BQ23" s="1">
        <v>1724868</v>
      </c>
      <c r="BR23" s="1">
        <v>0</v>
      </c>
      <c r="BS23" s="1"/>
      <c r="BT23" s="1">
        <v>0</v>
      </c>
      <c r="BU23" s="1"/>
      <c r="BV23" s="1">
        <v>107453</v>
      </c>
      <c r="BW23" s="1">
        <v>237404</v>
      </c>
      <c r="BX23" s="1">
        <v>434648</v>
      </c>
      <c r="BY23" s="1">
        <v>75408</v>
      </c>
      <c r="BZ23" s="1">
        <v>2322931</v>
      </c>
      <c r="CA23" s="1">
        <v>2753537</v>
      </c>
      <c r="CB23" s="1">
        <v>47797</v>
      </c>
      <c r="CC23" s="1">
        <v>47797</v>
      </c>
      <c r="CD23" s="1">
        <v>0</v>
      </c>
      <c r="CE23" s="1"/>
      <c r="CF23" s="1">
        <v>0</v>
      </c>
      <c r="CG23" s="1"/>
      <c r="CH23" s="1">
        <v>88810</v>
      </c>
      <c r="CI23" s="1"/>
      <c r="CJ23" s="1">
        <v>0</v>
      </c>
      <c r="CK23" s="1">
        <v>16037</v>
      </c>
      <c r="CL23" s="1">
        <v>0</v>
      </c>
      <c r="CM23" s="1"/>
      <c r="CN23" s="1">
        <v>0</v>
      </c>
      <c r="CO23" s="1">
        <v>8295</v>
      </c>
      <c r="CP23" s="1">
        <v>0</v>
      </c>
      <c r="CQ23" s="1"/>
      <c r="CR23" s="1">
        <v>0</v>
      </c>
      <c r="CS23" s="1">
        <v>7742</v>
      </c>
      <c r="CT23" s="1">
        <v>0</v>
      </c>
      <c r="CU23" s="1"/>
      <c r="CV23" s="1">
        <v>0</v>
      </c>
      <c r="CW23" s="1"/>
      <c r="CX23" s="2">
        <v>13264261</v>
      </c>
      <c r="CY23" s="1">
        <v>11284868</v>
      </c>
      <c r="CZ23" s="1">
        <v>17252941</v>
      </c>
      <c r="DA23" s="1">
        <v>15143064</v>
      </c>
      <c r="DB23" s="1">
        <v>4093375</v>
      </c>
      <c r="DC23" s="1">
        <v>4093375</v>
      </c>
      <c r="DD23" s="1">
        <v>0</v>
      </c>
      <c r="DE23" s="1"/>
      <c r="DF23" s="1">
        <v>3153869</v>
      </c>
      <c r="DG23" s="1">
        <v>3153869</v>
      </c>
      <c r="DH23" s="1">
        <v>0</v>
      </c>
      <c r="DI23" s="1"/>
      <c r="DJ23" s="1">
        <v>543536</v>
      </c>
      <c r="DK23" s="1">
        <v>1962589</v>
      </c>
      <c r="DL23" s="24">
        <v>0</v>
      </c>
      <c r="DM23" s="24"/>
      <c r="DN23" s="1">
        <v>3716069</v>
      </c>
      <c r="DO23" s="1">
        <v>3716069</v>
      </c>
      <c r="DP23" s="2">
        <v>11506849</v>
      </c>
      <c r="DQ23" s="1">
        <v>12925902</v>
      </c>
      <c r="DR23" s="2">
        <v>0</v>
      </c>
      <c r="DS23" s="1"/>
      <c r="DT23" s="1">
        <v>0</v>
      </c>
      <c r="DU23" s="1"/>
      <c r="DV23" s="1">
        <v>0</v>
      </c>
      <c r="DW23" s="1"/>
      <c r="DX23" s="1">
        <v>0</v>
      </c>
      <c r="DY23" s="1"/>
      <c r="DZ23" s="1">
        <v>0</v>
      </c>
      <c r="EA23" s="1"/>
      <c r="EB23" s="1">
        <v>0</v>
      </c>
      <c r="EC23" s="1"/>
      <c r="ED23" s="1">
        <v>0</v>
      </c>
      <c r="EE23" s="1"/>
      <c r="EF23" s="1">
        <v>0</v>
      </c>
      <c r="EG23" s="1"/>
      <c r="EH23" s="1">
        <v>0</v>
      </c>
      <c r="EI23" s="1"/>
      <c r="EJ23" s="1">
        <v>0</v>
      </c>
      <c r="EK23" s="1"/>
      <c r="EL23" s="1">
        <v>0</v>
      </c>
      <c r="EM23" s="1"/>
      <c r="EN23" s="1">
        <v>0</v>
      </c>
      <c r="EO23" s="1"/>
      <c r="EP23" s="2">
        <v>5746092</v>
      </c>
      <c r="EQ23" s="1">
        <v>2217162</v>
      </c>
      <c r="ER23" s="1">
        <v>3008273</v>
      </c>
      <c r="ES23" s="1">
        <v>2017162</v>
      </c>
      <c r="ET23" s="1">
        <v>0</v>
      </c>
      <c r="EU23" s="1"/>
      <c r="EV23" s="1">
        <v>1512139</v>
      </c>
      <c r="EW23" s="1">
        <v>1033119</v>
      </c>
      <c r="EX23" s="1">
        <v>0</v>
      </c>
      <c r="EY23" s="1"/>
      <c r="EZ23" s="1">
        <v>0</v>
      </c>
      <c r="FA23" s="1"/>
      <c r="FB23" s="1">
        <v>0</v>
      </c>
      <c r="FC23" s="1"/>
      <c r="FD23" s="1">
        <v>0</v>
      </c>
      <c r="FE23" s="1"/>
      <c r="FF23" s="1">
        <v>0</v>
      </c>
      <c r="FG23" s="1"/>
      <c r="FH23" s="1">
        <v>3399</v>
      </c>
      <c r="FI23" s="1"/>
      <c r="FJ23" s="1">
        <v>125748</v>
      </c>
      <c r="FK23" s="1">
        <v>364245</v>
      </c>
      <c r="FL23" s="1">
        <v>0</v>
      </c>
      <c r="FM23" s="1"/>
      <c r="FN23" s="1">
        <v>340266</v>
      </c>
      <c r="FO23" s="1">
        <v>351185</v>
      </c>
      <c r="FP23" s="1">
        <v>754883</v>
      </c>
      <c r="FQ23" s="1"/>
      <c r="FR23" s="1">
        <v>215918</v>
      </c>
      <c r="FS23" s="1">
        <v>192336</v>
      </c>
      <c r="FT23" s="1">
        <v>2477819</v>
      </c>
      <c r="FU23" s="1"/>
      <c r="FV23" s="1">
        <v>260000</v>
      </c>
      <c r="FW23" s="1">
        <v>200000</v>
      </c>
      <c r="FX23" s="1">
        <v>0</v>
      </c>
      <c r="FY23" s="1"/>
      <c r="FZ23" s="1">
        <v>55920</v>
      </c>
      <c r="GA23" s="1">
        <v>76277</v>
      </c>
      <c r="GB23" s="1">
        <v>5746092</v>
      </c>
      <c r="GC23" s="1">
        <v>2217162</v>
      </c>
      <c r="GD23" s="1">
        <v>17252941</v>
      </c>
      <c r="GE23" s="1">
        <v>15143064</v>
      </c>
    </row>
    <row r="24" spans="1:187" s="3" customFormat="1" ht="12" x14ac:dyDescent="0.2">
      <c r="A24" s="1">
        <v>20006</v>
      </c>
      <c r="B24" s="1">
        <v>0</v>
      </c>
      <c r="C24" s="1">
        <v>200930049</v>
      </c>
      <c r="D24" s="1" t="s">
        <v>117</v>
      </c>
      <c r="E24" s="1">
        <v>35</v>
      </c>
      <c r="F24" s="1">
        <v>9</v>
      </c>
      <c r="G24" s="1">
        <v>0</v>
      </c>
      <c r="H24" s="1">
        <v>1</v>
      </c>
      <c r="I24" s="8">
        <v>2019</v>
      </c>
      <c r="J24" s="1">
        <v>4</v>
      </c>
      <c r="K24" s="1" t="s">
        <v>0</v>
      </c>
      <c r="L24" s="1">
        <v>1</v>
      </c>
      <c r="M24" s="1">
        <v>30</v>
      </c>
      <c r="N24" s="1">
        <v>0</v>
      </c>
      <c r="O24" s="1">
        <v>43879.873645833337</v>
      </c>
      <c r="P24" s="1">
        <v>9322105</v>
      </c>
      <c r="Q24" s="1">
        <v>9597307</v>
      </c>
      <c r="R24" s="1">
        <v>6084929</v>
      </c>
      <c r="S24" s="1">
        <v>6368075</v>
      </c>
      <c r="T24" s="1">
        <v>3237176</v>
      </c>
      <c r="U24" s="1">
        <v>3229232</v>
      </c>
      <c r="V24" s="1">
        <v>15049</v>
      </c>
      <c r="W24" s="1">
        <v>15049</v>
      </c>
      <c r="X24" s="1">
        <v>1442</v>
      </c>
      <c r="Y24" s="1">
        <v>2195</v>
      </c>
      <c r="Z24" s="1">
        <v>13607</v>
      </c>
      <c r="AA24" s="1">
        <v>12854</v>
      </c>
      <c r="AB24" s="1">
        <v>151215</v>
      </c>
      <c r="AC24" s="1">
        <v>151215</v>
      </c>
      <c r="AD24" s="1">
        <v>1215</v>
      </c>
      <c r="AE24" s="1">
        <v>1215</v>
      </c>
      <c r="AF24" s="1">
        <v>150000</v>
      </c>
      <c r="AG24" s="1">
        <v>150000</v>
      </c>
      <c r="AH24" s="1"/>
      <c r="AI24" s="1"/>
      <c r="AJ24" s="1"/>
      <c r="AK24" s="1"/>
      <c r="AL24" s="1"/>
      <c r="AM24" s="1"/>
      <c r="AN24" s="1">
        <v>124020</v>
      </c>
      <c r="AO24" s="1"/>
      <c r="AP24" s="1"/>
      <c r="AQ24" s="1">
        <v>422075</v>
      </c>
      <c r="AR24" s="1">
        <v>211375</v>
      </c>
      <c r="AS24" s="1">
        <v>256572</v>
      </c>
      <c r="AT24" s="1"/>
      <c r="AU24" s="1"/>
      <c r="AV24" s="2">
        <v>3737393</v>
      </c>
      <c r="AW24" s="1">
        <v>4071948</v>
      </c>
      <c r="AX24" s="1">
        <v>19942373</v>
      </c>
      <c r="AY24" s="1">
        <v>11712756</v>
      </c>
      <c r="AZ24" s="1">
        <v>14420867</v>
      </c>
      <c r="BA24" s="1">
        <v>3996582</v>
      </c>
      <c r="BB24" s="1"/>
      <c r="BC24" s="1"/>
      <c r="BD24" s="1">
        <v>5521506</v>
      </c>
      <c r="BE24" s="1">
        <v>7716174</v>
      </c>
      <c r="BF24" s="1"/>
      <c r="BG24" s="1"/>
      <c r="BH24" s="1"/>
      <c r="BI24" s="1"/>
      <c r="BJ24" s="1"/>
      <c r="BK24" s="1"/>
      <c r="BL24" s="1">
        <v>3307895</v>
      </c>
      <c r="BM24" s="1">
        <v>6567410</v>
      </c>
      <c r="BN24" s="1"/>
      <c r="BO24" s="1"/>
      <c r="BP24" s="1">
        <v>321710</v>
      </c>
      <c r="BQ24" s="1">
        <v>1497591</v>
      </c>
      <c r="BR24" s="1"/>
      <c r="BS24" s="1"/>
      <c r="BT24" s="1"/>
      <c r="BU24" s="1"/>
      <c r="BV24" s="1">
        <v>196837</v>
      </c>
      <c r="BW24" s="1">
        <v>125764</v>
      </c>
      <c r="BX24" s="1">
        <v>1642965</v>
      </c>
      <c r="BY24" s="1">
        <v>2025246</v>
      </c>
      <c r="BZ24" s="1">
        <v>1056353</v>
      </c>
      <c r="CA24" s="1">
        <v>2739864</v>
      </c>
      <c r="CB24" s="1">
        <v>47797</v>
      </c>
      <c r="CC24" s="1">
        <v>47797</v>
      </c>
      <c r="CD24" s="1"/>
      <c r="CE24" s="1"/>
      <c r="CF24" s="1"/>
      <c r="CG24" s="1"/>
      <c r="CH24" s="1">
        <v>42233</v>
      </c>
      <c r="CI24" s="1">
        <v>131148</v>
      </c>
      <c r="CJ24" s="1">
        <v>113826</v>
      </c>
      <c r="CK24" s="1">
        <v>216640</v>
      </c>
      <c r="CL24" s="1"/>
      <c r="CM24" s="1"/>
      <c r="CN24" s="1">
        <v>6746</v>
      </c>
      <c r="CO24" s="1">
        <v>49362</v>
      </c>
      <c r="CP24" s="1">
        <v>49469</v>
      </c>
      <c r="CQ24" s="1"/>
      <c r="CR24" s="1">
        <v>57611</v>
      </c>
      <c r="CS24" s="1">
        <v>167278</v>
      </c>
      <c r="CT24" s="1"/>
      <c r="CU24" s="1"/>
      <c r="CV24" s="1"/>
      <c r="CW24" s="1"/>
      <c r="CX24" s="2">
        <v>23364094</v>
      </c>
      <c r="CY24" s="1">
        <v>18496806</v>
      </c>
      <c r="CZ24" s="1">
        <v>27101487</v>
      </c>
      <c r="DA24" s="1">
        <v>22568754</v>
      </c>
      <c r="DB24" s="1">
        <v>4093375</v>
      </c>
      <c r="DC24" s="1">
        <v>4093375</v>
      </c>
      <c r="DD24" s="1"/>
      <c r="DE24" s="1"/>
      <c r="DF24" s="1">
        <v>1241684</v>
      </c>
      <c r="DG24" s="1">
        <v>2797795</v>
      </c>
      <c r="DH24" s="1"/>
      <c r="DI24" s="1"/>
      <c r="DJ24" s="1">
        <v>2820741</v>
      </c>
      <c r="DK24" s="1">
        <v>2898705</v>
      </c>
      <c r="DL24" s="24"/>
      <c r="DM24" s="24"/>
      <c r="DN24" s="1">
        <v>3716592</v>
      </c>
      <c r="DO24" s="1">
        <v>3716592</v>
      </c>
      <c r="DP24" s="2">
        <v>11872392</v>
      </c>
      <c r="DQ24" s="1">
        <v>13506467</v>
      </c>
      <c r="DR24" s="2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2">
        <v>15229095</v>
      </c>
      <c r="EQ24" s="1">
        <v>9062287</v>
      </c>
      <c r="ER24" s="1">
        <v>8072645</v>
      </c>
      <c r="ES24" s="1">
        <v>3136211</v>
      </c>
      <c r="ET24" s="1"/>
      <c r="EU24" s="1"/>
      <c r="EV24" s="1">
        <v>6022404</v>
      </c>
      <c r="EW24" s="1">
        <v>1075220</v>
      </c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>
        <v>45510</v>
      </c>
      <c r="FI24" s="1"/>
      <c r="FJ24" s="1">
        <v>779058</v>
      </c>
      <c r="FK24" s="1">
        <v>1531723</v>
      </c>
      <c r="FL24" s="1"/>
      <c r="FM24" s="1"/>
      <c r="FN24" s="1">
        <v>839105</v>
      </c>
      <c r="FO24" s="1">
        <v>169225</v>
      </c>
      <c r="FP24" s="1">
        <v>1455</v>
      </c>
      <c r="FQ24" s="1">
        <v>42607</v>
      </c>
      <c r="FR24" s="1">
        <v>366892</v>
      </c>
      <c r="FS24" s="1">
        <v>205885</v>
      </c>
      <c r="FT24" s="1">
        <v>6906450</v>
      </c>
      <c r="FU24" s="1">
        <v>5045576</v>
      </c>
      <c r="FV24" s="1">
        <v>250000</v>
      </c>
      <c r="FW24" s="1">
        <v>880500</v>
      </c>
      <c r="FX24" s="1"/>
      <c r="FY24" s="1"/>
      <c r="FZ24" s="1">
        <v>18221</v>
      </c>
      <c r="GA24" s="1">
        <v>111551</v>
      </c>
      <c r="GB24" s="1">
        <v>15229095</v>
      </c>
      <c r="GC24" s="1">
        <v>9062287</v>
      </c>
      <c r="GD24" s="1">
        <v>27101487</v>
      </c>
      <c r="GE24" s="1">
        <v>22568754</v>
      </c>
    </row>
    <row r="25" spans="1:187" s="3" customFormat="1" x14ac:dyDescent="0.25">
      <c r="A25" s="1">
        <v>20006</v>
      </c>
      <c r="B25" s="1">
        <v>0</v>
      </c>
      <c r="C25" s="3">
        <v>200930049</v>
      </c>
      <c r="D25" s="8" t="s">
        <v>117</v>
      </c>
      <c r="E25" s="4">
        <v>35</v>
      </c>
      <c r="F25" s="4">
        <v>9</v>
      </c>
      <c r="G25" s="4">
        <v>0</v>
      </c>
      <c r="H25" s="4">
        <v>1</v>
      </c>
      <c r="I25" s="8">
        <v>2018</v>
      </c>
      <c r="J25" s="1">
        <v>4</v>
      </c>
      <c r="K25" s="3" t="s">
        <v>0</v>
      </c>
      <c r="L25" s="1">
        <v>2</v>
      </c>
      <c r="M25" s="1">
        <v>30</v>
      </c>
      <c r="N25" s="5">
        <v>0</v>
      </c>
      <c r="O25" s="6">
        <v>43537.404780092591</v>
      </c>
      <c r="P25" s="1">
        <v>9213443</v>
      </c>
      <c r="Q25" s="1">
        <v>9322105</v>
      </c>
      <c r="R25" s="1">
        <v>5739706</v>
      </c>
      <c r="S25" s="1">
        <v>6084929</v>
      </c>
      <c r="T25" s="1">
        <v>3473737</v>
      </c>
      <c r="U25" s="1">
        <v>3237176</v>
      </c>
      <c r="V25" s="1">
        <v>15049</v>
      </c>
      <c r="W25" s="1">
        <v>15049</v>
      </c>
      <c r="X25" s="1">
        <v>1254</v>
      </c>
      <c r="Y25" s="1">
        <v>1442</v>
      </c>
      <c r="Z25" s="1">
        <v>13795</v>
      </c>
      <c r="AA25" s="1">
        <v>13607</v>
      </c>
      <c r="AB25" s="1">
        <v>185715</v>
      </c>
      <c r="AC25" s="1">
        <v>151215</v>
      </c>
      <c r="AD25" s="1">
        <v>1215</v>
      </c>
      <c r="AE25" s="1">
        <v>1215</v>
      </c>
      <c r="AF25" s="1">
        <v>184500</v>
      </c>
      <c r="AG25" s="1">
        <v>150000</v>
      </c>
      <c r="AH25" s="1"/>
      <c r="AI25" s="1"/>
      <c r="AJ25" s="1"/>
      <c r="AK25" s="1"/>
      <c r="AL25" s="1"/>
      <c r="AM25" s="1"/>
      <c r="AN25" s="1">
        <v>124020</v>
      </c>
      <c r="AO25" s="1">
        <v>124020</v>
      </c>
      <c r="AP25" s="1"/>
      <c r="AQ25" s="1"/>
      <c r="AR25" s="1">
        <v>170650</v>
      </c>
      <c r="AS25" s="1">
        <v>211375</v>
      </c>
      <c r="AT25" s="1"/>
      <c r="AU25" s="1"/>
      <c r="AV25" s="2">
        <v>3967917</v>
      </c>
      <c r="AW25" s="1">
        <v>3737393</v>
      </c>
      <c r="AX25" s="1">
        <v>4107960</v>
      </c>
      <c r="AY25" s="1">
        <v>19942373</v>
      </c>
      <c r="AZ25" s="1">
        <v>2979906</v>
      </c>
      <c r="BA25" s="1">
        <v>14420867</v>
      </c>
      <c r="BB25" s="1"/>
      <c r="BC25" s="1"/>
      <c r="BD25" s="1">
        <v>1128054</v>
      </c>
      <c r="BE25" s="1">
        <v>5521506</v>
      </c>
      <c r="BF25" s="1"/>
      <c r="BG25" s="1"/>
      <c r="BH25" s="1"/>
      <c r="BI25" s="1"/>
      <c r="BJ25" s="1"/>
      <c r="BK25" s="1"/>
      <c r="BL25" s="1">
        <v>4208839</v>
      </c>
      <c r="BM25" s="1">
        <v>3307895</v>
      </c>
      <c r="BN25" s="1"/>
      <c r="BO25" s="1"/>
      <c r="BP25" s="1"/>
      <c r="BQ25" s="1">
        <v>321710</v>
      </c>
      <c r="BR25" s="1"/>
      <c r="BS25" s="1"/>
      <c r="BT25" s="1"/>
      <c r="BU25" s="1"/>
      <c r="BV25" s="1">
        <v>122912</v>
      </c>
      <c r="BW25" s="1">
        <v>196837</v>
      </c>
      <c r="BX25" s="1">
        <v>3735230</v>
      </c>
      <c r="BY25" s="1">
        <v>1642965</v>
      </c>
      <c r="BZ25" s="1">
        <v>247058</v>
      </c>
      <c r="CA25" s="1">
        <v>1056353</v>
      </c>
      <c r="CB25" s="1">
        <v>58322</v>
      </c>
      <c r="CC25" s="1">
        <v>47797</v>
      </c>
      <c r="CD25" s="1"/>
      <c r="CE25" s="1"/>
      <c r="CF25" s="1"/>
      <c r="CG25" s="1"/>
      <c r="CH25" s="1">
        <v>45317</v>
      </c>
      <c r="CI25" s="1">
        <v>42233</v>
      </c>
      <c r="CJ25" s="1">
        <v>143786</v>
      </c>
      <c r="CK25" s="1">
        <v>113826</v>
      </c>
      <c r="CL25" s="1"/>
      <c r="CM25" s="1"/>
      <c r="CN25" s="1">
        <v>143786</v>
      </c>
      <c r="CO25" s="1">
        <v>6746</v>
      </c>
      <c r="CP25" s="1"/>
      <c r="CQ25" s="1">
        <v>49469</v>
      </c>
      <c r="CR25" s="1"/>
      <c r="CS25" s="1">
        <v>57611</v>
      </c>
      <c r="CT25" s="1"/>
      <c r="CU25" s="1"/>
      <c r="CV25" s="1"/>
      <c r="CW25" s="1"/>
      <c r="CX25" s="2">
        <v>8460585</v>
      </c>
      <c r="CY25" s="1">
        <v>23364094</v>
      </c>
      <c r="CZ25" s="1">
        <v>12428502</v>
      </c>
      <c r="DA25" s="1">
        <v>27101487</v>
      </c>
      <c r="DB25" s="1">
        <v>4093375</v>
      </c>
      <c r="DC25" s="1">
        <v>4093375</v>
      </c>
      <c r="DD25" s="1"/>
      <c r="DE25" s="1"/>
      <c r="DF25" s="1">
        <v>1419885</v>
      </c>
      <c r="DG25" s="1">
        <v>1241684</v>
      </c>
      <c r="DH25" s="1"/>
      <c r="DI25" s="1"/>
      <c r="DJ25" s="1">
        <v>1826964</v>
      </c>
      <c r="DK25" s="1">
        <v>2820741</v>
      </c>
      <c r="DL25" s="24"/>
      <c r="DM25" s="24"/>
      <c r="DN25" s="1"/>
      <c r="DO25" s="1">
        <v>3716592</v>
      </c>
      <c r="DP25" s="2">
        <v>7340224</v>
      </c>
      <c r="DQ25" s="1">
        <v>11872392</v>
      </c>
      <c r="DR25" s="2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2">
        <v>5088278</v>
      </c>
      <c r="EQ25" s="1">
        <v>15229095</v>
      </c>
      <c r="ER25" s="1">
        <v>2115450</v>
      </c>
      <c r="ES25" s="1">
        <v>8072645</v>
      </c>
      <c r="ET25" s="1"/>
      <c r="EU25" s="1"/>
      <c r="EV25" s="1">
        <v>649182</v>
      </c>
      <c r="EW25" s="1">
        <v>6022404</v>
      </c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>
        <v>112163</v>
      </c>
      <c r="FI25" s="1">
        <v>45510</v>
      </c>
      <c r="FJ25" s="1">
        <v>805858</v>
      </c>
      <c r="FK25" s="1">
        <v>779058</v>
      </c>
      <c r="FL25" s="1"/>
      <c r="FM25" s="1"/>
      <c r="FN25" s="1">
        <v>303968</v>
      </c>
      <c r="FO25" s="1">
        <v>839105</v>
      </c>
      <c r="FP25" s="1">
        <v>5827</v>
      </c>
      <c r="FQ25" s="1">
        <v>1455</v>
      </c>
      <c r="FR25" s="1">
        <v>147966</v>
      </c>
      <c r="FS25" s="1">
        <v>366892</v>
      </c>
      <c r="FT25" s="1">
        <v>2722828</v>
      </c>
      <c r="FU25" s="1">
        <v>6906450</v>
      </c>
      <c r="FV25" s="1">
        <v>250000</v>
      </c>
      <c r="FW25" s="1">
        <v>250000</v>
      </c>
      <c r="FX25" s="1"/>
      <c r="FY25" s="1"/>
      <c r="FZ25" s="1">
        <v>90486</v>
      </c>
      <c r="GA25" s="1">
        <v>18221</v>
      </c>
      <c r="GB25" s="1">
        <v>5088278</v>
      </c>
      <c r="GC25" s="1">
        <v>15229095</v>
      </c>
      <c r="GD25" s="1">
        <v>12428502</v>
      </c>
      <c r="GE25" s="1">
        <v>27101487</v>
      </c>
    </row>
    <row r="26" spans="1:187" s="3" customFormat="1" ht="12" x14ac:dyDescent="0.2">
      <c r="A26" s="1">
        <v>20006</v>
      </c>
      <c r="B26" s="1">
        <v>0</v>
      </c>
      <c r="C26" s="1">
        <v>200595877</v>
      </c>
      <c r="D26" s="1" t="s">
        <v>122</v>
      </c>
      <c r="E26" s="1">
        <v>27</v>
      </c>
      <c r="F26" s="1">
        <v>16</v>
      </c>
      <c r="G26" s="1">
        <v>0</v>
      </c>
      <c r="H26" s="1">
        <v>1</v>
      </c>
      <c r="I26" s="1">
        <v>2021</v>
      </c>
      <c r="J26" s="1">
        <v>4</v>
      </c>
      <c r="K26" s="1" t="s">
        <v>0</v>
      </c>
      <c r="L26" s="1">
        <v>2</v>
      </c>
      <c r="M26" s="1">
        <v>30</v>
      </c>
      <c r="N26" s="1">
        <v>0</v>
      </c>
      <c r="O26" s="1">
        <v>44619.886238425926</v>
      </c>
      <c r="P26" s="1">
        <v>7161829</v>
      </c>
      <c r="Q26" s="1">
        <v>7163161</v>
      </c>
      <c r="R26" s="1">
        <v>3979643</v>
      </c>
      <c r="S26" s="1">
        <v>4386868</v>
      </c>
      <c r="T26" s="1">
        <v>3182186</v>
      </c>
      <c r="U26" s="1">
        <v>2776293</v>
      </c>
      <c r="V26" s="1">
        <v>1949</v>
      </c>
      <c r="W26" s="1">
        <v>1949</v>
      </c>
      <c r="X26" s="1">
        <v>891</v>
      </c>
      <c r="Y26" s="1">
        <v>1200</v>
      </c>
      <c r="Z26" s="1">
        <v>1058</v>
      </c>
      <c r="AA26" s="1">
        <v>749</v>
      </c>
      <c r="AB26" s="1">
        <v>20437</v>
      </c>
      <c r="AC26" s="1">
        <v>20437</v>
      </c>
      <c r="AD26" s="1">
        <v>205</v>
      </c>
      <c r="AE26" s="1">
        <v>205</v>
      </c>
      <c r="AF26" s="1"/>
      <c r="AG26" s="1"/>
      <c r="AH26" s="1">
        <v>20232</v>
      </c>
      <c r="AI26" s="1">
        <v>20232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2">
        <v>3203681</v>
      </c>
      <c r="AW26" s="1">
        <v>2797479</v>
      </c>
      <c r="AX26" s="1">
        <v>1753197</v>
      </c>
      <c r="AY26" s="1">
        <v>1459124</v>
      </c>
      <c r="AZ26" s="1">
        <v>1753197</v>
      </c>
      <c r="BA26" s="1">
        <v>1459124</v>
      </c>
      <c r="BB26" s="1"/>
      <c r="BC26" s="1"/>
      <c r="BD26" s="1"/>
      <c r="BE26" s="1"/>
      <c r="BF26" s="1"/>
      <c r="BG26" s="1"/>
      <c r="BH26" s="1">
        <v>149357</v>
      </c>
      <c r="BI26" s="1">
        <v>143389</v>
      </c>
      <c r="BJ26" s="1"/>
      <c r="BK26" s="1"/>
      <c r="BL26" s="1">
        <v>5941938</v>
      </c>
      <c r="BM26" s="1">
        <v>10302419</v>
      </c>
      <c r="BN26" s="1"/>
      <c r="BO26" s="1"/>
      <c r="BP26" s="1">
        <v>5789622</v>
      </c>
      <c r="BQ26" s="1">
        <v>7008656</v>
      </c>
      <c r="BR26" s="1"/>
      <c r="BS26" s="1"/>
      <c r="BT26" s="1"/>
      <c r="BU26" s="1"/>
      <c r="BV26" s="1"/>
      <c r="BW26" s="1"/>
      <c r="BX26" s="1">
        <v>58786</v>
      </c>
      <c r="BY26" s="1">
        <v>3189567</v>
      </c>
      <c r="BZ26" s="1">
        <v>15433</v>
      </c>
      <c r="CA26" s="1">
        <v>20609</v>
      </c>
      <c r="CB26" s="1">
        <v>434</v>
      </c>
      <c r="CC26" s="1">
        <v>1379</v>
      </c>
      <c r="CD26" s="1"/>
      <c r="CE26" s="1"/>
      <c r="CF26" s="1"/>
      <c r="CG26" s="1"/>
      <c r="CH26" s="1">
        <v>77663</v>
      </c>
      <c r="CI26" s="1">
        <v>82208</v>
      </c>
      <c r="CJ26" s="1">
        <v>1216812</v>
      </c>
      <c r="CK26" s="1">
        <v>5330</v>
      </c>
      <c r="CL26" s="1"/>
      <c r="CM26" s="1"/>
      <c r="CN26" s="1">
        <v>1214484</v>
      </c>
      <c r="CO26" s="1">
        <v>5318</v>
      </c>
      <c r="CP26" s="1"/>
      <c r="CQ26" s="1"/>
      <c r="CR26" s="1">
        <v>2328</v>
      </c>
      <c r="CS26" s="1">
        <v>12</v>
      </c>
      <c r="CT26" s="1"/>
      <c r="CU26" s="1"/>
      <c r="CV26" s="1">
        <v>12330</v>
      </c>
      <c r="CW26" s="1">
        <v>12330</v>
      </c>
      <c r="CX26" s="2">
        <v>9073634</v>
      </c>
      <c r="CY26" s="1">
        <v>11922592</v>
      </c>
      <c r="CZ26" s="1">
        <v>12277315</v>
      </c>
      <c r="DA26" s="1">
        <v>14720071</v>
      </c>
      <c r="DB26" s="1">
        <v>677310</v>
      </c>
      <c r="DC26" s="1">
        <v>677310</v>
      </c>
      <c r="DD26" s="1">
        <v>601753</v>
      </c>
      <c r="DE26" s="1">
        <v>601753</v>
      </c>
      <c r="DF26" s="1">
        <v>5049241</v>
      </c>
      <c r="DG26" s="1">
        <v>5049241</v>
      </c>
      <c r="DH26" s="1"/>
      <c r="DI26" s="1"/>
      <c r="DJ26" s="1">
        <v>5150926</v>
      </c>
      <c r="DK26" s="1">
        <v>7081657</v>
      </c>
      <c r="DL26" s="24"/>
      <c r="DM26" s="24"/>
      <c r="DN26" s="1"/>
      <c r="DO26" s="1"/>
      <c r="DP26" s="2">
        <v>11479230</v>
      </c>
      <c r="DQ26" s="1">
        <v>13409961</v>
      </c>
      <c r="DR26" s="2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2">
        <v>798085</v>
      </c>
      <c r="EQ26" s="1">
        <v>1310110</v>
      </c>
      <c r="ER26" s="1">
        <v>798085</v>
      </c>
      <c r="ES26" s="1">
        <v>1281711</v>
      </c>
      <c r="ET26" s="1"/>
      <c r="EU26" s="1"/>
      <c r="EV26" s="1">
        <v>1407</v>
      </c>
      <c r="EW26" s="1">
        <v>209123</v>
      </c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>
        <v>3863</v>
      </c>
      <c r="FJ26" s="1">
        <v>326445</v>
      </c>
      <c r="FK26" s="1">
        <v>353265</v>
      </c>
      <c r="FL26" s="1"/>
      <c r="FM26" s="1"/>
      <c r="FN26" s="1"/>
      <c r="FO26" s="1">
        <v>2</v>
      </c>
      <c r="FP26" s="1">
        <v>84563</v>
      </c>
      <c r="FQ26" s="1">
        <v>4640</v>
      </c>
      <c r="FR26" s="1">
        <v>369298</v>
      </c>
      <c r="FS26" s="1">
        <v>685363</v>
      </c>
      <c r="FT26" s="1"/>
      <c r="FU26" s="1"/>
      <c r="FV26" s="1"/>
      <c r="FW26" s="1">
        <v>28399</v>
      </c>
      <c r="FX26" s="1"/>
      <c r="FY26" s="1"/>
      <c r="FZ26" s="1">
        <v>16372</v>
      </c>
      <c r="GA26" s="1">
        <v>25455</v>
      </c>
      <c r="GB26" s="1">
        <v>798085</v>
      </c>
      <c r="GC26" s="1">
        <v>1310110</v>
      </c>
      <c r="GD26" s="1">
        <v>12277315</v>
      </c>
      <c r="GE26" s="1">
        <v>14720071</v>
      </c>
    </row>
    <row r="27" spans="1:187" s="3" customFormat="1" ht="12" x14ac:dyDescent="0.2">
      <c r="A27" s="1">
        <v>20006</v>
      </c>
      <c r="B27" s="1">
        <v>0</v>
      </c>
      <c r="C27" s="1">
        <v>200595877</v>
      </c>
      <c r="D27" s="1" t="s">
        <v>122</v>
      </c>
      <c r="E27" s="1">
        <v>27</v>
      </c>
      <c r="F27" s="1">
        <v>16</v>
      </c>
      <c r="G27" s="1">
        <v>0</v>
      </c>
      <c r="H27" s="1">
        <v>1</v>
      </c>
      <c r="I27" s="1">
        <v>2020</v>
      </c>
      <c r="J27" s="1">
        <v>4</v>
      </c>
      <c r="K27" s="1" t="s">
        <v>0</v>
      </c>
      <c r="L27" s="1">
        <v>1</v>
      </c>
      <c r="M27" s="1">
        <v>30</v>
      </c>
      <c r="N27" s="1">
        <v>0</v>
      </c>
      <c r="O27" s="1">
        <v>44242.694039351853</v>
      </c>
      <c r="P27" s="1">
        <v>6994308.8200000003</v>
      </c>
      <c r="Q27" s="1">
        <v>7161828.5899999999</v>
      </c>
      <c r="R27" s="1">
        <v>3560122.46</v>
      </c>
      <c r="S27" s="1">
        <v>3979642.69</v>
      </c>
      <c r="T27" s="1">
        <v>3434186.36</v>
      </c>
      <c r="U27" s="1">
        <v>3182185.9</v>
      </c>
      <c r="V27" s="1">
        <v>1948.56</v>
      </c>
      <c r="W27" s="1">
        <v>1948.56</v>
      </c>
      <c r="X27" s="1">
        <v>581.85</v>
      </c>
      <c r="Y27" s="1">
        <v>890.53</v>
      </c>
      <c r="Z27" s="1">
        <v>1366.71</v>
      </c>
      <c r="AA27" s="1">
        <v>1058.03</v>
      </c>
      <c r="AB27" s="1">
        <v>205.33</v>
      </c>
      <c r="AC27" s="1">
        <v>20436.849999999999</v>
      </c>
      <c r="AD27" s="1">
        <v>205.33</v>
      </c>
      <c r="AE27" s="1">
        <v>205.33</v>
      </c>
      <c r="AF27" s="1">
        <v>0</v>
      </c>
      <c r="AG27" s="1">
        <v>0</v>
      </c>
      <c r="AH27" s="1">
        <v>0</v>
      </c>
      <c r="AI27" s="1">
        <v>20231.52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2">
        <v>3435758.4</v>
      </c>
      <c r="AW27" s="1">
        <v>3203680.78</v>
      </c>
      <c r="AX27" s="1">
        <v>1862462.72</v>
      </c>
      <c r="AY27" s="1">
        <v>1753196.7</v>
      </c>
      <c r="AZ27" s="1">
        <v>1862462.72</v>
      </c>
      <c r="BA27" s="1">
        <v>1753196.7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5002.6099999999997</v>
      </c>
      <c r="BI27" s="1">
        <v>149357.09</v>
      </c>
      <c r="BJ27" s="1">
        <v>0</v>
      </c>
      <c r="BK27" s="1">
        <v>0</v>
      </c>
      <c r="BL27" s="1">
        <v>1793026.85</v>
      </c>
      <c r="BM27" s="1">
        <v>5941937.5999999996</v>
      </c>
      <c r="BN27" s="1">
        <v>0</v>
      </c>
      <c r="BO27" s="1">
        <v>0</v>
      </c>
      <c r="BP27" s="1">
        <v>689173.49</v>
      </c>
      <c r="BQ27" s="1">
        <v>5789621.6100000003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997079.53</v>
      </c>
      <c r="BY27" s="1">
        <v>58785.69</v>
      </c>
      <c r="BZ27" s="1">
        <v>6000.23</v>
      </c>
      <c r="CA27" s="1">
        <v>15433.17</v>
      </c>
      <c r="CB27" s="1">
        <v>1933.9</v>
      </c>
      <c r="CC27" s="1">
        <v>434.1</v>
      </c>
      <c r="CD27" s="1">
        <v>0</v>
      </c>
      <c r="CE27" s="1">
        <v>0</v>
      </c>
      <c r="CF27" s="1">
        <v>0</v>
      </c>
      <c r="CG27" s="1">
        <v>0</v>
      </c>
      <c r="CH27" s="1">
        <v>98839.7</v>
      </c>
      <c r="CI27" s="1">
        <v>77663.03</v>
      </c>
      <c r="CJ27" s="1">
        <v>108439.44</v>
      </c>
      <c r="CK27" s="1">
        <v>1216812.52</v>
      </c>
      <c r="CL27" s="1">
        <v>0</v>
      </c>
      <c r="CM27" s="1">
        <v>0</v>
      </c>
      <c r="CN27" s="1">
        <v>107106.14</v>
      </c>
      <c r="CO27" s="1">
        <v>1214484.5</v>
      </c>
      <c r="CP27" s="1">
        <v>0</v>
      </c>
      <c r="CQ27" s="1">
        <v>0</v>
      </c>
      <c r="CR27" s="1">
        <v>1333.3</v>
      </c>
      <c r="CS27" s="1">
        <v>2328.02</v>
      </c>
      <c r="CT27" s="1">
        <v>0</v>
      </c>
      <c r="CU27" s="1">
        <v>0</v>
      </c>
      <c r="CV27" s="1">
        <v>12330.13</v>
      </c>
      <c r="CW27" s="1">
        <v>12330.13</v>
      </c>
      <c r="CX27" s="2">
        <v>3781261.75</v>
      </c>
      <c r="CY27" s="1">
        <v>9073634.0399999991</v>
      </c>
      <c r="CZ27" s="1">
        <v>7217020.1500000004</v>
      </c>
      <c r="DA27" s="1">
        <v>12277314.82</v>
      </c>
      <c r="DB27" s="1">
        <v>677310</v>
      </c>
      <c r="DC27" s="1">
        <v>677310</v>
      </c>
      <c r="DD27" s="1">
        <v>601753.05000000005</v>
      </c>
      <c r="DE27" s="1">
        <v>601753.05000000005</v>
      </c>
      <c r="DF27" s="1">
        <v>4842600.4000000004</v>
      </c>
      <c r="DG27" s="1">
        <v>5049241.2699999996</v>
      </c>
      <c r="DH27" s="1">
        <v>0</v>
      </c>
      <c r="DI27" s="1">
        <v>0</v>
      </c>
      <c r="DJ27" s="1">
        <v>398402.65</v>
      </c>
      <c r="DK27" s="1">
        <v>5150925.92</v>
      </c>
      <c r="DL27" s="24">
        <v>0</v>
      </c>
      <c r="DM27" s="24">
        <v>0</v>
      </c>
      <c r="DN27" s="1">
        <v>0</v>
      </c>
      <c r="DO27" s="1">
        <v>0</v>
      </c>
      <c r="DP27" s="2">
        <v>6520066.0999999996</v>
      </c>
      <c r="DQ27" s="1">
        <v>11479230.24</v>
      </c>
      <c r="DR27" s="2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2">
        <v>696954.05</v>
      </c>
      <c r="EQ27" s="1">
        <v>798084.58</v>
      </c>
      <c r="ER27" s="1">
        <v>696954.05</v>
      </c>
      <c r="ES27" s="1">
        <v>798084.58</v>
      </c>
      <c r="ET27" s="1">
        <v>0</v>
      </c>
      <c r="EU27" s="1">
        <v>0</v>
      </c>
      <c r="EV27" s="1">
        <v>8673.84</v>
      </c>
      <c r="EW27" s="1">
        <v>1407.06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383718.41</v>
      </c>
      <c r="FK27" s="1">
        <v>326445.24</v>
      </c>
      <c r="FL27" s="1">
        <v>0</v>
      </c>
      <c r="FM27" s="1">
        <v>0</v>
      </c>
      <c r="FN27" s="1">
        <v>34198.19</v>
      </c>
      <c r="FO27" s="1">
        <v>0</v>
      </c>
      <c r="FP27" s="1">
        <v>0</v>
      </c>
      <c r="FQ27" s="1">
        <v>84563.23</v>
      </c>
      <c r="FR27" s="1">
        <v>244663.57</v>
      </c>
      <c r="FS27" s="1">
        <v>369296.67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25700.04</v>
      </c>
      <c r="GA27" s="1">
        <v>16372.38</v>
      </c>
      <c r="GB27" s="1">
        <v>696954.05</v>
      </c>
      <c r="GC27" s="1">
        <v>798084.58</v>
      </c>
      <c r="GD27" s="1">
        <v>7217020.1500000004</v>
      </c>
      <c r="GE27" s="1">
        <v>12277314.82</v>
      </c>
    </row>
    <row r="28" spans="1:187" s="3" customFormat="1" ht="12" x14ac:dyDescent="0.2">
      <c r="A28" s="1">
        <v>20006</v>
      </c>
      <c r="B28" s="1">
        <v>0</v>
      </c>
      <c r="C28" s="1">
        <v>200595877</v>
      </c>
      <c r="D28" s="1" t="s">
        <v>122</v>
      </c>
      <c r="E28" s="1">
        <v>27</v>
      </c>
      <c r="F28" s="1">
        <v>16</v>
      </c>
      <c r="G28" s="1">
        <v>0</v>
      </c>
      <c r="H28" s="1">
        <v>1</v>
      </c>
      <c r="I28" s="1">
        <v>2019</v>
      </c>
      <c r="J28" s="1">
        <v>4</v>
      </c>
      <c r="K28" s="1" t="s">
        <v>0</v>
      </c>
      <c r="L28" s="1">
        <v>1</v>
      </c>
      <c r="M28" s="1">
        <v>30</v>
      </c>
      <c r="N28" s="1">
        <v>0</v>
      </c>
      <c r="O28" s="1">
        <v>43876.893159722225</v>
      </c>
      <c r="P28" s="1">
        <v>6566118.96</v>
      </c>
      <c r="Q28" s="1">
        <v>6565983.7999999998</v>
      </c>
      <c r="R28" s="1">
        <v>3117837.55</v>
      </c>
      <c r="S28" s="1">
        <v>3368444.22</v>
      </c>
      <c r="T28" s="1">
        <v>3448281.41</v>
      </c>
      <c r="U28" s="1">
        <v>3197539.58</v>
      </c>
      <c r="V28" s="1">
        <v>1948.56</v>
      </c>
      <c r="W28" s="1">
        <v>1948.56</v>
      </c>
      <c r="X28" s="1">
        <v>273.16000000000003</v>
      </c>
      <c r="Y28" s="1">
        <v>581.85</v>
      </c>
      <c r="Z28" s="1">
        <v>1675.4</v>
      </c>
      <c r="AA28" s="1">
        <v>1366.71</v>
      </c>
      <c r="AB28" s="1">
        <v>205.33</v>
      </c>
      <c r="AC28" s="1">
        <v>205.33</v>
      </c>
      <c r="AD28" s="1">
        <v>205.33</v>
      </c>
      <c r="AE28" s="1">
        <v>205.33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2">
        <v>3450162.14</v>
      </c>
      <c r="AW28" s="1">
        <v>3199111.62</v>
      </c>
      <c r="AX28" s="1">
        <v>2042345.25</v>
      </c>
      <c r="AY28" s="1">
        <v>1862462.72</v>
      </c>
      <c r="AZ28" s="1">
        <v>2042345.25</v>
      </c>
      <c r="BA28" s="1">
        <v>1862462.72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118759.5</v>
      </c>
      <c r="BI28" s="1">
        <v>5002.6099999999997</v>
      </c>
      <c r="BJ28" s="1">
        <v>0</v>
      </c>
      <c r="BK28" s="1">
        <v>0</v>
      </c>
      <c r="BL28" s="1">
        <v>608726.31999999995</v>
      </c>
      <c r="BM28" s="1">
        <v>1793026.85</v>
      </c>
      <c r="BN28" s="1">
        <v>0</v>
      </c>
      <c r="BO28" s="1">
        <v>0</v>
      </c>
      <c r="BP28" s="1">
        <v>54164.39</v>
      </c>
      <c r="BQ28" s="1">
        <v>689173.49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499684.08</v>
      </c>
      <c r="BY28" s="1">
        <v>997079.53</v>
      </c>
      <c r="BZ28" s="1">
        <v>0</v>
      </c>
      <c r="CA28" s="1">
        <v>6000.23</v>
      </c>
      <c r="CB28" s="1">
        <v>0.47</v>
      </c>
      <c r="CC28" s="1">
        <v>1933.9</v>
      </c>
      <c r="CD28" s="1">
        <v>0</v>
      </c>
      <c r="CE28" s="1">
        <v>0</v>
      </c>
      <c r="CF28" s="1">
        <v>0</v>
      </c>
      <c r="CG28" s="1">
        <v>0</v>
      </c>
      <c r="CH28" s="1">
        <v>54877.38</v>
      </c>
      <c r="CI28" s="1">
        <v>98839.7</v>
      </c>
      <c r="CJ28" s="1">
        <v>1.32</v>
      </c>
      <c r="CK28" s="1">
        <v>108439.44</v>
      </c>
      <c r="CL28" s="1">
        <v>0</v>
      </c>
      <c r="CM28" s="1">
        <v>0</v>
      </c>
      <c r="CN28" s="1">
        <v>0</v>
      </c>
      <c r="CO28" s="1">
        <v>107106.14</v>
      </c>
      <c r="CP28" s="1">
        <v>0</v>
      </c>
      <c r="CQ28" s="1">
        <v>0</v>
      </c>
      <c r="CR28" s="1">
        <v>1.32</v>
      </c>
      <c r="CS28" s="1">
        <v>1333.3</v>
      </c>
      <c r="CT28" s="1">
        <v>0</v>
      </c>
      <c r="CU28" s="1">
        <v>0</v>
      </c>
      <c r="CV28" s="1">
        <v>12330.13</v>
      </c>
      <c r="CW28" s="1">
        <v>12330.13</v>
      </c>
      <c r="CX28" s="2">
        <v>2782162.52</v>
      </c>
      <c r="CY28" s="1">
        <v>3781261.75</v>
      </c>
      <c r="CZ28" s="1">
        <v>6232324.6600000001</v>
      </c>
      <c r="DA28" s="1">
        <v>6980373.3700000001</v>
      </c>
      <c r="DB28" s="1">
        <v>677310</v>
      </c>
      <c r="DC28" s="1">
        <v>677310</v>
      </c>
      <c r="DD28" s="1">
        <v>601753.05000000005</v>
      </c>
      <c r="DE28" s="1">
        <v>601753.05000000005</v>
      </c>
      <c r="DF28" s="1">
        <v>4574681.8099999996</v>
      </c>
      <c r="DG28" s="1">
        <v>4605953.62</v>
      </c>
      <c r="DH28" s="1">
        <v>0</v>
      </c>
      <c r="DI28" s="1">
        <v>0</v>
      </c>
      <c r="DJ28" s="1">
        <v>-3155119.31</v>
      </c>
      <c r="DK28" s="1">
        <v>398402.65</v>
      </c>
      <c r="DL28" s="24">
        <v>0</v>
      </c>
      <c r="DM28" s="24">
        <v>0</v>
      </c>
      <c r="DN28" s="1">
        <v>0</v>
      </c>
      <c r="DO28" s="1">
        <v>0</v>
      </c>
      <c r="DP28" s="2">
        <v>2698625.55</v>
      </c>
      <c r="DQ28" s="1">
        <v>6283419.3200000003</v>
      </c>
      <c r="DR28" s="2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2">
        <v>3533699.11</v>
      </c>
      <c r="EQ28" s="1">
        <v>696954.05</v>
      </c>
      <c r="ER28" s="1">
        <v>3531971.11</v>
      </c>
      <c r="ES28" s="1">
        <v>696954.05</v>
      </c>
      <c r="ET28" s="1">
        <v>0</v>
      </c>
      <c r="EU28" s="1">
        <v>0</v>
      </c>
      <c r="EV28" s="1">
        <v>908460.4</v>
      </c>
      <c r="EW28" s="1">
        <v>8673.84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1717.07</v>
      </c>
      <c r="FI28" s="1">
        <v>0</v>
      </c>
      <c r="FJ28" s="1">
        <v>1056823.28</v>
      </c>
      <c r="FK28" s="1">
        <v>383718.41</v>
      </c>
      <c r="FL28" s="1">
        <v>0</v>
      </c>
      <c r="FM28" s="1">
        <v>0</v>
      </c>
      <c r="FN28" s="1">
        <v>595957.14</v>
      </c>
      <c r="FO28" s="1">
        <v>34198.19</v>
      </c>
      <c r="FP28" s="1">
        <v>0</v>
      </c>
      <c r="FQ28" s="1">
        <v>0</v>
      </c>
      <c r="FR28" s="1">
        <v>913961.13</v>
      </c>
      <c r="FS28" s="1">
        <v>244663.57</v>
      </c>
      <c r="FT28" s="1">
        <v>0</v>
      </c>
      <c r="FU28" s="1">
        <v>0</v>
      </c>
      <c r="FV28" s="1">
        <v>1728</v>
      </c>
      <c r="FW28" s="1">
        <v>0</v>
      </c>
      <c r="FX28" s="1">
        <v>0</v>
      </c>
      <c r="FY28" s="1">
        <v>0</v>
      </c>
      <c r="FZ28" s="1">
        <v>55052.09</v>
      </c>
      <c r="GA28" s="1">
        <v>25700.04</v>
      </c>
      <c r="GB28" s="1">
        <v>3533699.11</v>
      </c>
      <c r="GC28" s="1">
        <v>696954.05</v>
      </c>
      <c r="GD28" s="1">
        <v>6232324.6600000001</v>
      </c>
      <c r="GE28" s="1">
        <v>6980373.3700000001</v>
      </c>
    </row>
    <row r="29" spans="1:187" s="3" customFormat="1" x14ac:dyDescent="0.25">
      <c r="A29" s="1">
        <v>20006</v>
      </c>
      <c r="B29" s="1">
        <v>0</v>
      </c>
      <c r="C29" s="3">
        <v>200595877</v>
      </c>
      <c r="D29" s="8" t="s">
        <v>122</v>
      </c>
      <c r="E29" s="4">
        <v>27</v>
      </c>
      <c r="F29" s="4">
        <v>16</v>
      </c>
      <c r="G29" s="4">
        <v>0</v>
      </c>
      <c r="H29" s="4">
        <v>1</v>
      </c>
      <c r="I29" s="1">
        <v>2018</v>
      </c>
      <c r="J29" s="1">
        <v>4</v>
      </c>
      <c r="K29" s="3" t="s">
        <v>0</v>
      </c>
      <c r="L29" s="1">
        <v>1</v>
      </c>
      <c r="M29" s="1">
        <v>30</v>
      </c>
      <c r="N29" s="5">
        <v>0</v>
      </c>
      <c r="O29" s="6">
        <v>43507.828553240739</v>
      </c>
      <c r="P29" s="1">
        <v>6291881</v>
      </c>
      <c r="Q29" s="1">
        <v>6291764</v>
      </c>
      <c r="R29" s="1">
        <v>2759272</v>
      </c>
      <c r="S29" s="1">
        <v>3006686</v>
      </c>
      <c r="T29" s="1">
        <v>3532609</v>
      </c>
      <c r="U29" s="1">
        <v>3285078</v>
      </c>
      <c r="V29" s="1">
        <v>1375</v>
      </c>
      <c r="W29" s="1">
        <v>1949</v>
      </c>
      <c r="X29" s="1">
        <v>242</v>
      </c>
      <c r="Y29" s="1">
        <v>273</v>
      </c>
      <c r="Z29" s="1">
        <v>1133</v>
      </c>
      <c r="AA29" s="1">
        <v>1676</v>
      </c>
      <c r="AB29" s="1">
        <v>205</v>
      </c>
      <c r="AC29" s="1">
        <v>205</v>
      </c>
      <c r="AD29" s="1">
        <v>205</v>
      </c>
      <c r="AE29" s="1">
        <v>205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2">
        <v>3533947</v>
      </c>
      <c r="AW29" s="1">
        <v>3286959</v>
      </c>
      <c r="AX29" s="1">
        <v>2092362</v>
      </c>
      <c r="AY29" s="1">
        <v>2042345</v>
      </c>
      <c r="AZ29" s="1">
        <v>2092362</v>
      </c>
      <c r="BA29" s="1">
        <v>2042345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54369</v>
      </c>
      <c r="BI29" s="1">
        <v>118760</v>
      </c>
      <c r="BJ29" s="1">
        <v>0</v>
      </c>
      <c r="BK29" s="1">
        <v>0</v>
      </c>
      <c r="BL29" s="1">
        <v>39785</v>
      </c>
      <c r="BM29" s="1">
        <v>608726</v>
      </c>
      <c r="BN29" s="1">
        <v>0</v>
      </c>
      <c r="BO29" s="1">
        <v>0</v>
      </c>
      <c r="BP29" s="1">
        <v>4865</v>
      </c>
      <c r="BQ29" s="1">
        <v>54164</v>
      </c>
      <c r="BR29" s="1">
        <v>0</v>
      </c>
      <c r="BS29" s="1">
        <v>0</v>
      </c>
      <c r="BT29" s="1">
        <v>0</v>
      </c>
      <c r="BU29" s="1">
        <v>0</v>
      </c>
      <c r="BV29" s="1">
        <v>20</v>
      </c>
      <c r="BW29" s="1">
        <v>0</v>
      </c>
      <c r="BX29" s="1">
        <v>17355</v>
      </c>
      <c r="BY29" s="1">
        <v>499684</v>
      </c>
      <c r="BZ29" s="1">
        <v>13222</v>
      </c>
      <c r="CA29" s="1">
        <v>0</v>
      </c>
      <c r="CB29" s="1">
        <v>442</v>
      </c>
      <c r="CC29" s="1">
        <v>1</v>
      </c>
      <c r="CD29" s="1">
        <v>0</v>
      </c>
      <c r="CE29" s="1">
        <v>0</v>
      </c>
      <c r="CF29" s="1">
        <v>0</v>
      </c>
      <c r="CG29" s="1">
        <v>0</v>
      </c>
      <c r="CH29" s="1">
        <v>3881</v>
      </c>
      <c r="CI29" s="1">
        <v>54877</v>
      </c>
      <c r="CJ29" s="1">
        <v>4067</v>
      </c>
      <c r="CK29" s="1">
        <v>1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4067</v>
      </c>
      <c r="CS29" s="1">
        <v>1</v>
      </c>
      <c r="CT29" s="1">
        <v>0</v>
      </c>
      <c r="CU29" s="1">
        <v>0</v>
      </c>
      <c r="CV29" s="1">
        <v>12330</v>
      </c>
      <c r="CW29" s="1">
        <v>12330</v>
      </c>
      <c r="CX29" s="2">
        <v>2202913</v>
      </c>
      <c r="CY29" s="1">
        <v>2782162</v>
      </c>
      <c r="CZ29" s="1">
        <v>5736860</v>
      </c>
      <c r="DA29" s="1">
        <v>6069121</v>
      </c>
      <c r="DB29" s="1">
        <v>677310</v>
      </c>
      <c r="DC29" s="1">
        <v>677310</v>
      </c>
      <c r="DD29" s="1">
        <v>601753</v>
      </c>
      <c r="DE29" s="1">
        <v>601753</v>
      </c>
      <c r="DF29" s="1">
        <v>4381316</v>
      </c>
      <c r="DG29" s="1">
        <v>4411478</v>
      </c>
      <c r="DH29" s="1">
        <v>0</v>
      </c>
      <c r="DI29" s="1">
        <v>0</v>
      </c>
      <c r="DJ29" s="1">
        <v>-3356669</v>
      </c>
      <c r="DK29" s="1">
        <v>-3155119</v>
      </c>
      <c r="DL29" s="24">
        <v>0</v>
      </c>
      <c r="DM29" s="24">
        <v>0</v>
      </c>
      <c r="DN29" s="1">
        <v>0</v>
      </c>
      <c r="DO29" s="1">
        <v>0</v>
      </c>
      <c r="DP29" s="2">
        <v>2303710</v>
      </c>
      <c r="DQ29" s="1">
        <v>2535422</v>
      </c>
      <c r="DR29" s="2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2">
        <v>3433150</v>
      </c>
      <c r="EQ29" s="1">
        <v>3533699</v>
      </c>
      <c r="ER29" s="1">
        <v>3431422</v>
      </c>
      <c r="ES29" s="1">
        <v>3531971</v>
      </c>
      <c r="ET29" s="1">
        <v>0</v>
      </c>
      <c r="EU29" s="1">
        <v>0</v>
      </c>
      <c r="EV29" s="1">
        <v>1881561</v>
      </c>
      <c r="EW29" s="1">
        <v>908461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932773</v>
      </c>
      <c r="FI29" s="1">
        <v>1717</v>
      </c>
      <c r="FJ29" s="1">
        <v>180195</v>
      </c>
      <c r="FK29" s="1">
        <v>1056823</v>
      </c>
      <c r="FL29" s="1">
        <v>0</v>
      </c>
      <c r="FM29" s="1">
        <v>0</v>
      </c>
      <c r="FN29" s="1">
        <v>156022</v>
      </c>
      <c r="FO29" s="1">
        <v>595957</v>
      </c>
      <c r="FP29" s="1">
        <v>0</v>
      </c>
      <c r="FQ29" s="1">
        <v>0</v>
      </c>
      <c r="FR29" s="1">
        <v>267262</v>
      </c>
      <c r="FS29" s="1">
        <v>913961</v>
      </c>
      <c r="FT29" s="1">
        <v>0</v>
      </c>
      <c r="FU29" s="1">
        <v>0</v>
      </c>
      <c r="FV29" s="1">
        <v>1728</v>
      </c>
      <c r="FW29" s="1">
        <v>1728</v>
      </c>
      <c r="FX29" s="1">
        <v>0</v>
      </c>
      <c r="FY29" s="1">
        <v>0</v>
      </c>
      <c r="FZ29" s="1">
        <v>13609</v>
      </c>
      <c r="GA29" s="1">
        <v>55052</v>
      </c>
      <c r="GB29" s="1">
        <v>3433150</v>
      </c>
      <c r="GC29" s="1">
        <v>3533699</v>
      </c>
      <c r="GD29" s="1">
        <v>5736860</v>
      </c>
      <c r="GE29" s="1">
        <v>6069121</v>
      </c>
    </row>
    <row r="30" spans="1:187" s="3" customFormat="1" ht="12" x14ac:dyDescent="0.2">
      <c r="A30" s="1">
        <v>20006</v>
      </c>
      <c r="B30" s="1">
        <v>0</v>
      </c>
      <c r="C30" s="1">
        <v>200002854</v>
      </c>
      <c r="D30" s="1" t="s">
        <v>124</v>
      </c>
      <c r="E30" s="1">
        <v>12</v>
      </c>
      <c r="F30" s="1">
        <v>1</v>
      </c>
      <c r="G30" s="1">
        <v>0</v>
      </c>
      <c r="H30" s="1">
        <v>1</v>
      </c>
      <c r="I30" s="1">
        <v>2021</v>
      </c>
      <c r="J30" s="1">
        <v>4</v>
      </c>
      <c r="K30" s="1" t="s">
        <v>0</v>
      </c>
      <c r="L30" s="1">
        <v>2</v>
      </c>
      <c r="M30" s="1">
        <v>30</v>
      </c>
      <c r="N30" s="1">
        <v>0</v>
      </c>
      <c r="O30" s="1">
        <v>44691.537291666667</v>
      </c>
      <c r="P30" s="1">
        <v>29929641</v>
      </c>
      <c r="Q30" s="1">
        <v>35339106</v>
      </c>
      <c r="R30" s="1">
        <v>6544899</v>
      </c>
      <c r="S30" s="1">
        <v>11062046</v>
      </c>
      <c r="T30" s="1">
        <v>23384742</v>
      </c>
      <c r="U30" s="1">
        <v>24277060</v>
      </c>
      <c r="V30" s="1">
        <v>1162</v>
      </c>
      <c r="W30" s="1">
        <v>1162</v>
      </c>
      <c r="X30" s="1">
        <v>1162</v>
      </c>
      <c r="Y30" s="1">
        <v>1162</v>
      </c>
      <c r="Z30" s="1">
        <v>0</v>
      </c>
      <c r="AA30" s="1">
        <v>0</v>
      </c>
      <c r="AB30" s="1">
        <v>8928</v>
      </c>
      <c r="AC30" s="1">
        <v>8928</v>
      </c>
      <c r="AD30" s="1">
        <v>8928</v>
      </c>
      <c r="AE30" s="1">
        <v>8928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>
        <v>736366</v>
      </c>
      <c r="AQ30" s="1">
        <v>344680</v>
      </c>
      <c r="AR30" s="1"/>
      <c r="AS30" s="1"/>
      <c r="AT30" s="1"/>
      <c r="AU30" s="1"/>
      <c r="AV30" s="2">
        <v>24130036</v>
      </c>
      <c r="AW30" s="1">
        <v>24630668</v>
      </c>
      <c r="AX30" s="1">
        <v>8748785</v>
      </c>
      <c r="AY30" s="1">
        <v>9807735</v>
      </c>
      <c r="AZ30" s="1">
        <v>7310198</v>
      </c>
      <c r="BA30" s="1">
        <v>8702322</v>
      </c>
      <c r="BB30" s="1">
        <v>264441</v>
      </c>
      <c r="BC30" s="1">
        <v>0</v>
      </c>
      <c r="BD30" s="1">
        <v>1174146</v>
      </c>
      <c r="BE30" s="1">
        <v>1105413</v>
      </c>
      <c r="BF30" s="1"/>
      <c r="BG30" s="1"/>
      <c r="BH30" s="1">
        <v>0</v>
      </c>
      <c r="BI30" s="1">
        <v>0</v>
      </c>
      <c r="BJ30" s="1"/>
      <c r="BK30" s="1"/>
      <c r="BL30" s="1">
        <v>75479688</v>
      </c>
      <c r="BM30" s="1">
        <v>92686231</v>
      </c>
      <c r="BN30" s="1"/>
      <c r="BO30" s="1"/>
      <c r="BP30" s="1">
        <v>61473743</v>
      </c>
      <c r="BQ30" s="1">
        <v>83951446</v>
      </c>
      <c r="BR30" s="1">
        <v>58898450</v>
      </c>
      <c r="BS30" s="1">
        <v>78468313</v>
      </c>
      <c r="BT30" s="1"/>
      <c r="BU30" s="1"/>
      <c r="BV30" s="1">
        <v>14978</v>
      </c>
      <c r="BW30" s="1">
        <v>40797</v>
      </c>
      <c r="BX30" s="1">
        <v>13002587</v>
      </c>
      <c r="BY30" s="1">
        <v>7558109</v>
      </c>
      <c r="BZ30" s="1">
        <v>775690</v>
      </c>
      <c r="CA30" s="1">
        <v>1626</v>
      </c>
      <c r="CB30" s="1">
        <v>4333</v>
      </c>
      <c r="CC30" s="1">
        <v>0</v>
      </c>
      <c r="CD30" s="1"/>
      <c r="CE30" s="1"/>
      <c r="CF30" s="1"/>
      <c r="CG30" s="1"/>
      <c r="CH30" s="1">
        <v>208357</v>
      </c>
      <c r="CI30" s="1">
        <v>1134253</v>
      </c>
      <c r="CJ30" s="1">
        <v>4950169</v>
      </c>
      <c r="CK30" s="1">
        <v>601917</v>
      </c>
      <c r="CL30" s="1"/>
      <c r="CM30" s="1"/>
      <c r="CN30" s="1">
        <v>4045428</v>
      </c>
      <c r="CO30" s="1">
        <v>597998</v>
      </c>
      <c r="CP30" s="1">
        <v>892109</v>
      </c>
      <c r="CQ30" s="1">
        <v>0</v>
      </c>
      <c r="CR30" s="1">
        <v>12632</v>
      </c>
      <c r="CS30" s="1">
        <v>3919</v>
      </c>
      <c r="CT30" s="1">
        <v>0</v>
      </c>
      <c r="CU30" s="1">
        <v>275000</v>
      </c>
      <c r="CV30" s="1">
        <v>0</v>
      </c>
      <c r="CW30" s="1">
        <v>0</v>
      </c>
      <c r="CX30" s="2">
        <v>89178642</v>
      </c>
      <c r="CY30" s="1">
        <v>103370883</v>
      </c>
      <c r="CZ30" s="1">
        <v>113308678</v>
      </c>
      <c r="DA30" s="1">
        <v>128001551</v>
      </c>
      <c r="DB30" s="1">
        <v>1633137</v>
      </c>
      <c r="DC30" s="1">
        <v>1633137</v>
      </c>
      <c r="DD30" s="1">
        <v>28485952</v>
      </c>
      <c r="DE30" s="1">
        <v>28485952</v>
      </c>
      <c r="DF30" s="1">
        <v>10635874</v>
      </c>
      <c r="DG30" s="1">
        <v>12431004</v>
      </c>
      <c r="DH30" s="1"/>
      <c r="DI30" s="1"/>
      <c r="DJ30" s="1">
        <v>1797941</v>
      </c>
      <c r="DK30" s="1">
        <v>1691711</v>
      </c>
      <c r="DL30" s="24"/>
      <c r="DM30" s="24"/>
      <c r="DN30" s="1"/>
      <c r="DO30" s="1"/>
      <c r="DP30" s="2">
        <v>42552904</v>
      </c>
      <c r="DQ30" s="1">
        <v>44241804</v>
      </c>
      <c r="DR30" s="2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2">
        <v>70755774</v>
      </c>
      <c r="EQ30" s="1">
        <v>83759747</v>
      </c>
      <c r="ER30" s="1">
        <v>70755774</v>
      </c>
      <c r="ES30" s="1">
        <v>83759747</v>
      </c>
      <c r="ET30" s="1"/>
      <c r="EU30" s="1"/>
      <c r="EV30" s="1">
        <v>52323795</v>
      </c>
      <c r="EW30" s="1">
        <v>78333978</v>
      </c>
      <c r="EX30" s="1">
        <v>50056498</v>
      </c>
      <c r="EY30" s="1">
        <v>76641872</v>
      </c>
      <c r="EZ30" s="1"/>
      <c r="FA30" s="1">
        <v>0</v>
      </c>
      <c r="FB30" s="1"/>
      <c r="FC30" s="1"/>
      <c r="FD30" s="1"/>
      <c r="FE30" s="1"/>
      <c r="FF30" s="1"/>
      <c r="FG30" s="1"/>
      <c r="FH30" s="1">
        <v>16503347</v>
      </c>
      <c r="FI30" s="1">
        <v>3196471</v>
      </c>
      <c r="FJ30" s="1">
        <v>172410</v>
      </c>
      <c r="FK30" s="1">
        <v>689029</v>
      </c>
      <c r="FL30" s="1"/>
      <c r="FM30" s="1">
        <v>0</v>
      </c>
      <c r="FN30" s="1">
        <v>325134</v>
      </c>
      <c r="FO30" s="1">
        <v>233647</v>
      </c>
      <c r="FP30" s="1">
        <v>5834</v>
      </c>
      <c r="FQ30" s="1">
        <v>0</v>
      </c>
      <c r="FR30" s="1">
        <v>1018539</v>
      </c>
      <c r="FS30" s="1">
        <v>940042</v>
      </c>
      <c r="FT30" s="1"/>
      <c r="FU30" s="1"/>
      <c r="FV30" s="1">
        <v>0</v>
      </c>
      <c r="FW30" s="1">
        <v>0</v>
      </c>
      <c r="FX30" s="1"/>
      <c r="FY30" s="1"/>
      <c r="FZ30" s="1">
        <v>406715</v>
      </c>
      <c r="GA30" s="1">
        <v>366580</v>
      </c>
      <c r="GB30" s="1">
        <v>70755774</v>
      </c>
      <c r="GC30" s="1">
        <v>83759747</v>
      </c>
      <c r="GD30" s="1">
        <v>113308678</v>
      </c>
      <c r="GE30" s="1">
        <v>128001551</v>
      </c>
    </row>
    <row r="31" spans="1:187" s="3" customFormat="1" ht="12" x14ac:dyDescent="0.2">
      <c r="A31" s="1">
        <v>20006</v>
      </c>
      <c r="B31" s="1">
        <v>0</v>
      </c>
      <c r="C31" s="1">
        <v>200002854</v>
      </c>
      <c r="D31" s="1" t="s">
        <v>124</v>
      </c>
      <c r="E31" s="1">
        <v>12</v>
      </c>
      <c r="F31" s="1">
        <v>1</v>
      </c>
      <c r="G31" s="1">
        <v>0</v>
      </c>
      <c r="H31" s="1">
        <v>1</v>
      </c>
      <c r="I31" s="1">
        <v>2020</v>
      </c>
      <c r="J31" s="1">
        <v>4</v>
      </c>
      <c r="K31" s="1" t="s">
        <v>0</v>
      </c>
      <c r="L31" s="1">
        <v>2</v>
      </c>
      <c r="M31" s="1">
        <v>30</v>
      </c>
      <c r="N31" s="1">
        <v>0</v>
      </c>
      <c r="O31" s="1">
        <v>44303.460173611114</v>
      </c>
      <c r="P31" s="1">
        <v>29326938</v>
      </c>
      <c r="Q31" s="1">
        <v>29929641</v>
      </c>
      <c r="R31" s="1">
        <v>2991007</v>
      </c>
      <c r="S31" s="1">
        <v>6544899</v>
      </c>
      <c r="T31" s="1">
        <v>26335931</v>
      </c>
      <c r="U31" s="1">
        <v>23384742</v>
      </c>
      <c r="V31" s="1">
        <v>1162</v>
      </c>
      <c r="W31" s="1">
        <v>1162</v>
      </c>
      <c r="X31" s="1">
        <v>1162</v>
      </c>
      <c r="Y31" s="1">
        <v>1162</v>
      </c>
      <c r="Z31" s="1">
        <v>0</v>
      </c>
      <c r="AA31" s="1">
        <v>0</v>
      </c>
      <c r="AB31" s="1">
        <v>8928</v>
      </c>
      <c r="AC31" s="1">
        <v>8928</v>
      </c>
      <c r="AD31" s="1">
        <v>8928</v>
      </c>
      <c r="AE31" s="1">
        <v>8928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>
        <v>736366</v>
      </c>
      <c r="AR31" s="1"/>
      <c r="AS31" s="1"/>
      <c r="AT31" s="1"/>
      <c r="AU31" s="1"/>
      <c r="AV31" s="2">
        <v>26344859</v>
      </c>
      <c r="AW31" s="1">
        <v>24130036</v>
      </c>
      <c r="AX31" s="1">
        <v>7155635</v>
      </c>
      <c r="AY31" s="1">
        <v>8748785</v>
      </c>
      <c r="AZ31" s="1">
        <v>6757080</v>
      </c>
      <c r="BA31" s="1">
        <v>7310198</v>
      </c>
      <c r="BB31" s="1">
        <v>0</v>
      </c>
      <c r="BC31" s="1">
        <v>264441</v>
      </c>
      <c r="BD31" s="1">
        <v>398555</v>
      </c>
      <c r="BE31" s="1">
        <v>1174146</v>
      </c>
      <c r="BF31" s="1"/>
      <c r="BG31" s="1"/>
      <c r="BH31" s="1">
        <v>390</v>
      </c>
      <c r="BI31" s="1">
        <v>0</v>
      </c>
      <c r="BJ31" s="1"/>
      <c r="BK31" s="1"/>
      <c r="BL31" s="1">
        <v>43636157</v>
      </c>
      <c r="BM31" s="1">
        <v>75479688</v>
      </c>
      <c r="BN31" s="1"/>
      <c r="BO31" s="1"/>
      <c r="BP31" s="1">
        <v>38220441</v>
      </c>
      <c r="BQ31" s="1">
        <v>61473743</v>
      </c>
      <c r="BR31" s="1"/>
      <c r="BS31" s="1">
        <v>58898450</v>
      </c>
      <c r="BT31" s="1"/>
      <c r="BU31" s="1"/>
      <c r="BV31" s="1">
        <v>11396</v>
      </c>
      <c r="BW31" s="1">
        <v>14978</v>
      </c>
      <c r="BX31" s="1">
        <v>0</v>
      </c>
      <c r="BY31" s="1">
        <v>13002587</v>
      </c>
      <c r="BZ31" s="1">
        <v>5010416</v>
      </c>
      <c r="CA31" s="1">
        <v>775690</v>
      </c>
      <c r="CB31" s="1">
        <v>4350</v>
      </c>
      <c r="CC31" s="1">
        <v>4333</v>
      </c>
      <c r="CD31" s="1"/>
      <c r="CE31" s="1"/>
      <c r="CF31" s="1"/>
      <c r="CG31" s="1"/>
      <c r="CH31" s="1">
        <v>389554</v>
      </c>
      <c r="CI31" s="1">
        <v>208357</v>
      </c>
      <c r="CJ31" s="1">
        <v>4518546</v>
      </c>
      <c r="CK31" s="1">
        <v>4950169</v>
      </c>
      <c r="CL31" s="1"/>
      <c r="CM31" s="1"/>
      <c r="CN31" s="1">
        <v>4495554</v>
      </c>
      <c r="CO31" s="1">
        <v>4045428</v>
      </c>
      <c r="CP31" s="1">
        <v>517</v>
      </c>
      <c r="CQ31" s="1">
        <v>892109</v>
      </c>
      <c r="CR31" s="1">
        <v>22475</v>
      </c>
      <c r="CS31" s="1">
        <v>12632</v>
      </c>
      <c r="CT31" s="1">
        <v>90000</v>
      </c>
      <c r="CU31" s="1">
        <v>0</v>
      </c>
      <c r="CV31" s="1">
        <v>0</v>
      </c>
      <c r="CW31" s="1">
        <v>0</v>
      </c>
      <c r="CX31" s="2">
        <v>55400728</v>
      </c>
      <c r="CY31" s="1">
        <v>89178642</v>
      </c>
      <c r="CZ31" s="1">
        <v>81745587</v>
      </c>
      <c r="DA31" s="1">
        <v>113308678</v>
      </c>
      <c r="DB31" s="1">
        <v>1633137</v>
      </c>
      <c r="DC31" s="1">
        <v>1633137</v>
      </c>
      <c r="DD31" s="1">
        <v>28485952</v>
      </c>
      <c r="DE31" s="1">
        <v>28485952</v>
      </c>
      <c r="DF31" s="1">
        <v>2853911</v>
      </c>
      <c r="DG31" s="1">
        <v>10635874</v>
      </c>
      <c r="DH31" s="1"/>
      <c r="DI31" s="1"/>
      <c r="DJ31" s="1">
        <v>7325796</v>
      </c>
      <c r="DK31" s="1">
        <v>1797941</v>
      </c>
      <c r="DL31" s="24"/>
      <c r="DM31" s="24"/>
      <c r="DN31" s="1"/>
      <c r="DO31" s="1"/>
      <c r="DP31" s="2">
        <v>40298796</v>
      </c>
      <c r="DQ31" s="1">
        <v>42552904</v>
      </c>
      <c r="DR31" s="2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2">
        <v>41446791</v>
      </c>
      <c r="EQ31" s="1">
        <v>70755774</v>
      </c>
      <c r="ER31" s="1">
        <v>41446791</v>
      </c>
      <c r="ES31" s="1">
        <v>70755774</v>
      </c>
      <c r="ET31" s="1"/>
      <c r="EU31" s="1"/>
      <c r="EV31" s="1">
        <v>34002810</v>
      </c>
      <c r="EW31" s="1">
        <v>52323795</v>
      </c>
      <c r="EX31" s="1"/>
      <c r="EY31" s="1">
        <v>50056498</v>
      </c>
      <c r="EZ31" s="1"/>
      <c r="FA31" s="1">
        <v>0</v>
      </c>
      <c r="FB31" s="1"/>
      <c r="FC31" s="1"/>
      <c r="FD31" s="1"/>
      <c r="FE31" s="1"/>
      <c r="FF31" s="1"/>
      <c r="FG31" s="1"/>
      <c r="FH31" s="1">
        <v>0</v>
      </c>
      <c r="FI31" s="1">
        <v>16503347</v>
      </c>
      <c r="FJ31" s="1">
        <v>575371</v>
      </c>
      <c r="FK31" s="1">
        <v>172410</v>
      </c>
      <c r="FL31" s="1"/>
      <c r="FM31" s="1"/>
      <c r="FN31" s="1">
        <v>238386</v>
      </c>
      <c r="FO31" s="1">
        <v>325134</v>
      </c>
      <c r="FP31" s="1">
        <v>5834</v>
      </c>
      <c r="FQ31" s="1">
        <v>5834</v>
      </c>
      <c r="FR31" s="1">
        <v>1210463</v>
      </c>
      <c r="FS31" s="1">
        <v>1018539</v>
      </c>
      <c r="FT31" s="1"/>
      <c r="FU31" s="1"/>
      <c r="FV31" s="1">
        <v>0</v>
      </c>
      <c r="FW31" s="1">
        <v>0</v>
      </c>
      <c r="FX31" s="1"/>
      <c r="FY31" s="1"/>
      <c r="FZ31" s="1">
        <v>5413927</v>
      </c>
      <c r="GA31" s="1">
        <v>406715</v>
      </c>
      <c r="GB31" s="1">
        <v>41446791</v>
      </c>
      <c r="GC31" s="1">
        <v>70755774</v>
      </c>
      <c r="GD31" s="1">
        <v>81745587</v>
      </c>
      <c r="GE31" s="1">
        <v>113308678</v>
      </c>
    </row>
    <row r="32" spans="1:187" s="3" customFormat="1" ht="12" x14ac:dyDescent="0.2">
      <c r="A32" s="1">
        <v>20006</v>
      </c>
      <c r="B32" s="1">
        <v>0</v>
      </c>
      <c r="C32" s="1">
        <v>200002854</v>
      </c>
      <c r="D32" s="1" t="s">
        <v>124</v>
      </c>
      <c r="E32" s="1">
        <v>12</v>
      </c>
      <c r="F32" s="1">
        <v>1</v>
      </c>
      <c r="G32" s="1">
        <v>0</v>
      </c>
      <c r="H32" s="1">
        <v>1</v>
      </c>
      <c r="I32" s="1">
        <v>2019</v>
      </c>
      <c r="J32" s="1">
        <v>4</v>
      </c>
      <c r="K32" s="1" t="s">
        <v>0</v>
      </c>
      <c r="L32" s="1">
        <v>2</v>
      </c>
      <c r="M32" s="1">
        <v>30</v>
      </c>
      <c r="N32" s="1">
        <v>0</v>
      </c>
      <c r="O32" s="1">
        <v>44013.630277777775</v>
      </c>
      <c r="P32" s="1">
        <v>4441262</v>
      </c>
      <c r="Q32" s="1">
        <v>29379938</v>
      </c>
      <c r="R32" s="1">
        <v>2929584</v>
      </c>
      <c r="S32" s="1">
        <v>2998957</v>
      </c>
      <c r="T32" s="1">
        <v>1511678</v>
      </c>
      <c r="U32" s="1">
        <v>26380981</v>
      </c>
      <c r="V32" s="1">
        <v>1162</v>
      </c>
      <c r="W32" s="1">
        <v>1162</v>
      </c>
      <c r="X32" s="1">
        <v>1162</v>
      </c>
      <c r="Y32" s="1">
        <v>1162</v>
      </c>
      <c r="Z32" s="1">
        <v>0</v>
      </c>
      <c r="AA32" s="1">
        <v>0</v>
      </c>
      <c r="AB32" s="1">
        <v>8590</v>
      </c>
      <c r="AC32" s="1">
        <v>8928</v>
      </c>
      <c r="AD32" s="1">
        <v>8590</v>
      </c>
      <c r="AE32" s="1">
        <v>8928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2">
        <v>1520268</v>
      </c>
      <c r="AW32" s="1">
        <v>26389909</v>
      </c>
      <c r="AX32" s="1">
        <v>2036828</v>
      </c>
      <c r="AY32" s="1">
        <v>7165222</v>
      </c>
      <c r="AZ32" s="1">
        <v>1877340</v>
      </c>
      <c r="BA32" s="1">
        <v>6766667</v>
      </c>
      <c r="BB32" s="1">
        <v>0</v>
      </c>
      <c r="BC32" s="1"/>
      <c r="BD32" s="1">
        <v>159488</v>
      </c>
      <c r="BE32" s="1">
        <v>398555</v>
      </c>
      <c r="BF32" s="1"/>
      <c r="BG32" s="1"/>
      <c r="BH32" s="1">
        <v>840</v>
      </c>
      <c r="BI32" s="1">
        <v>390</v>
      </c>
      <c r="BJ32" s="1"/>
      <c r="BK32" s="1"/>
      <c r="BL32" s="1">
        <v>18099356</v>
      </c>
      <c r="BM32" s="1">
        <v>43626495</v>
      </c>
      <c r="BN32" s="1"/>
      <c r="BO32" s="1"/>
      <c r="BP32" s="1">
        <v>2688471</v>
      </c>
      <c r="BQ32" s="1">
        <v>38210978</v>
      </c>
      <c r="BR32" s="1"/>
      <c r="BS32" s="1"/>
      <c r="BT32" s="1"/>
      <c r="BU32" s="1"/>
      <c r="BV32" s="1">
        <v>8385</v>
      </c>
      <c r="BW32" s="1">
        <v>11278</v>
      </c>
      <c r="BX32" s="1">
        <v>12784715</v>
      </c>
      <c r="BY32" s="1">
        <v>0</v>
      </c>
      <c r="BZ32" s="1"/>
      <c r="CA32" s="1">
        <v>5011195</v>
      </c>
      <c r="CB32" s="1"/>
      <c r="CC32" s="1">
        <v>4350</v>
      </c>
      <c r="CD32" s="1"/>
      <c r="CE32" s="1"/>
      <c r="CF32" s="1"/>
      <c r="CG32" s="1"/>
      <c r="CH32" s="1">
        <v>2617785</v>
      </c>
      <c r="CI32" s="1">
        <v>388694</v>
      </c>
      <c r="CJ32" s="1">
        <v>2098015</v>
      </c>
      <c r="CK32" s="1">
        <v>4517319</v>
      </c>
      <c r="CL32" s="1"/>
      <c r="CM32" s="1"/>
      <c r="CN32" s="1">
        <v>1569845</v>
      </c>
      <c r="CO32" s="1">
        <v>4495554</v>
      </c>
      <c r="CP32" s="1">
        <v>22632</v>
      </c>
      <c r="CQ32" s="1">
        <v>517</v>
      </c>
      <c r="CR32" s="1">
        <v>505538</v>
      </c>
      <c r="CS32" s="1">
        <v>21248</v>
      </c>
      <c r="CT32" s="1"/>
      <c r="CU32" s="1">
        <v>90000</v>
      </c>
      <c r="CV32" s="1">
        <v>28802</v>
      </c>
      <c r="CW32" s="1">
        <v>0</v>
      </c>
      <c r="CX32" s="2">
        <v>22263841</v>
      </c>
      <c r="CY32" s="1">
        <v>55399426</v>
      </c>
      <c r="CZ32" s="1">
        <v>23784109</v>
      </c>
      <c r="DA32" s="1">
        <v>81789335</v>
      </c>
      <c r="DB32" s="1">
        <v>967500</v>
      </c>
      <c r="DC32" s="1">
        <v>1633137</v>
      </c>
      <c r="DD32" s="1"/>
      <c r="DE32" s="1">
        <v>28485952</v>
      </c>
      <c r="DF32" s="1">
        <v>654735</v>
      </c>
      <c r="DG32" s="1">
        <v>2853911</v>
      </c>
      <c r="DH32" s="1"/>
      <c r="DI32" s="1"/>
      <c r="DJ32" s="1">
        <v>3373120</v>
      </c>
      <c r="DK32" s="1">
        <v>7362340</v>
      </c>
      <c r="DL32" s="24"/>
      <c r="DM32" s="24"/>
      <c r="DN32" s="1"/>
      <c r="DO32" s="1"/>
      <c r="DP32" s="2">
        <v>4995355</v>
      </c>
      <c r="DQ32" s="1">
        <v>40335340</v>
      </c>
      <c r="DR32" s="2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2">
        <v>18788754</v>
      </c>
      <c r="EQ32" s="1">
        <v>41453995</v>
      </c>
      <c r="ER32" s="1">
        <v>17088754</v>
      </c>
      <c r="ES32" s="1">
        <v>41453995</v>
      </c>
      <c r="ET32" s="1"/>
      <c r="EU32" s="1"/>
      <c r="EV32" s="1">
        <v>13376998</v>
      </c>
      <c r="EW32" s="1">
        <v>34002090</v>
      </c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>
        <v>324290</v>
      </c>
      <c r="FI32" s="1">
        <v>0</v>
      </c>
      <c r="FJ32" s="1">
        <v>1149512</v>
      </c>
      <c r="FK32" s="1">
        <v>585582</v>
      </c>
      <c r="FL32" s="1"/>
      <c r="FM32" s="1"/>
      <c r="FN32" s="1">
        <v>535810</v>
      </c>
      <c r="FO32" s="1">
        <v>238386</v>
      </c>
      <c r="FP32" s="1">
        <v>5903</v>
      </c>
      <c r="FQ32" s="1">
        <v>5834</v>
      </c>
      <c r="FR32" s="1">
        <v>586387</v>
      </c>
      <c r="FS32" s="1">
        <v>1207909</v>
      </c>
      <c r="FT32" s="1"/>
      <c r="FU32" s="1"/>
      <c r="FV32" s="1">
        <v>1700000</v>
      </c>
      <c r="FW32" s="1">
        <v>0</v>
      </c>
      <c r="FX32" s="1"/>
      <c r="FY32" s="1"/>
      <c r="FZ32" s="1">
        <v>1109854</v>
      </c>
      <c r="GA32" s="1">
        <v>5414194</v>
      </c>
      <c r="GB32" s="1">
        <v>18788754</v>
      </c>
      <c r="GC32" s="1">
        <v>41453995</v>
      </c>
      <c r="GD32" s="1">
        <v>23784109</v>
      </c>
      <c r="GE32" s="1">
        <v>81789335</v>
      </c>
    </row>
    <row r="33" spans="1:187" s="3" customFormat="1" x14ac:dyDescent="0.25">
      <c r="A33" s="1">
        <v>20006</v>
      </c>
      <c r="B33" s="1">
        <v>0</v>
      </c>
      <c r="C33" s="3">
        <v>200002854</v>
      </c>
      <c r="D33" s="3" t="s">
        <v>124</v>
      </c>
      <c r="E33" s="4">
        <v>12</v>
      </c>
      <c r="F33" s="4">
        <v>1</v>
      </c>
      <c r="G33" s="4">
        <v>0</v>
      </c>
      <c r="H33" s="4">
        <v>1</v>
      </c>
      <c r="I33" s="1">
        <v>2018</v>
      </c>
      <c r="J33" s="1">
        <v>4</v>
      </c>
      <c r="K33" s="3" t="s">
        <v>0</v>
      </c>
      <c r="L33" s="1">
        <v>2</v>
      </c>
      <c r="M33" s="1">
        <v>30</v>
      </c>
      <c r="N33" s="5">
        <v>0</v>
      </c>
      <c r="O33" s="6">
        <v>43550.784907407404</v>
      </c>
      <c r="P33" s="1">
        <v>3045346</v>
      </c>
      <c r="Q33" s="1">
        <v>4441262</v>
      </c>
      <c r="R33" s="1">
        <v>2325222</v>
      </c>
      <c r="S33" s="1">
        <v>2929584</v>
      </c>
      <c r="T33" s="1">
        <v>720124</v>
      </c>
      <c r="U33" s="1">
        <v>1511678</v>
      </c>
      <c r="V33" s="1">
        <v>1162</v>
      </c>
      <c r="W33" s="1">
        <v>1162</v>
      </c>
      <c r="X33" s="1">
        <v>1162</v>
      </c>
      <c r="Y33" s="1">
        <v>1162</v>
      </c>
      <c r="Z33" s="1">
        <v>0</v>
      </c>
      <c r="AA33" s="1">
        <v>0</v>
      </c>
      <c r="AB33" s="1">
        <v>8590</v>
      </c>
      <c r="AC33" s="1">
        <v>8590</v>
      </c>
      <c r="AD33" s="1">
        <v>8590</v>
      </c>
      <c r="AE33" s="1">
        <v>8590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>
        <v>132239</v>
      </c>
      <c r="AQ33" s="1">
        <v>0</v>
      </c>
      <c r="AR33" s="1"/>
      <c r="AS33" s="1"/>
      <c r="AT33" s="1"/>
      <c r="AU33" s="1"/>
      <c r="AV33" s="2">
        <v>860953</v>
      </c>
      <c r="AW33" s="1">
        <v>1520268</v>
      </c>
      <c r="AX33" s="1">
        <v>1058008</v>
      </c>
      <c r="AY33" s="1">
        <v>2036828</v>
      </c>
      <c r="AZ33" s="1">
        <v>784566</v>
      </c>
      <c r="BA33" s="1">
        <v>1877340</v>
      </c>
      <c r="BB33" s="1">
        <v>22119</v>
      </c>
      <c r="BC33" s="1">
        <v>0</v>
      </c>
      <c r="BD33" s="1">
        <v>251323</v>
      </c>
      <c r="BE33" s="1">
        <v>159488</v>
      </c>
      <c r="BF33" s="1"/>
      <c r="BG33" s="1"/>
      <c r="BH33" s="1">
        <v>3252</v>
      </c>
      <c r="BI33" s="1">
        <v>840</v>
      </c>
      <c r="BJ33" s="1"/>
      <c r="BK33" s="1"/>
      <c r="BL33" s="1">
        <v>760728</v>
      </c>
      <c r="BM33" s="1">
        <v>18099356</v>
      </c>
      <c r="BN33" s="1"/>
      <c r="BO33" s="1"/>
      <c r="BP33" s="1">
        <v>616801</v>
      </c>
      <c r="BQ33" s="1">
        <v>2688471</v>
      </c>
      <c r="BR33" s="1"/>
      <c r="BS33" s="1"/>
      <c r="BT33" s="1"/>
      <c r="BU33" s="1"/>
      <c r="BV33" s="1">
        <v>10495</v>
      </c>
      <c r="BW33" s="1">
        <v>8385</v>
      </c>
      <c r="BX33" s="1">
        <v>55214</v>
      </c>
      <c r="BY33" s="1">
        <v>12784715</v>
      </c>
      <c r="BZ33" s="1">
        <v>1272</v>
      </c>
      <c r="CA33" s="1">
        <v>0</v>
      </c>
      <c r="CB33" s="1">
        <v>2956</v>
      </c>
      <c r="CC33" s="1">
        <v>0</v>
      </c>
      <c r="CD33" s="1"/>
      <c r="CE33" s="1"/>
      <c r="CF33" s="1"/>
      <c r="CG33" s="1"/>
      <c r="CH33" s="1">
        <v>73990</v>
      </c>
      <c r="CI33" s="1">
        <v>2617785</v>
      </c>
      <c r="CJ33" s="1">
        <v>100402</v>
      </c>
      <c r="CK33" s="1">
        <v>2098015</v>
      </c>
      <c r="CL33" s="1"/>
      <c r="CM33" s="1"/>
      <c r="CN33" s="1">
        <v>13947</v>
      </c>
      <c r="CO33" s="1">
        <v>1569845</v>
      </c>
      <c r="CP33" s="1">
        <v>83104</v>
      </c>
      <c r="CQ33" s="1">
        <v>22632</v>
      </c>
      <c r="CR33" s="1">
        <v>3351</v>
      </c>
      <c r="CS33" s="1">
        <v>505538</v>
      </c>
      <c r="CT33" s="1"/>
      <c r="CU33" s="1"/>
      <c r="CV33" s="1">
        <v>28802</v>
      </c>
      <c r="CW33" s="1">
        <v>28802</v>
      </c>
      <c r="CX33" s="2">
        <v>1951192</v>
      </c>
      <c r="CY33" s="1">
        <v>22263841</v>
      </c>
      <c r="CZ33" s="1">
        <v>2812145</v>
      </c>
      <c r="DA33" s="1">
        <v>23784109</v>
      </c>
      <c r="DB33" s="1">
        <v>967500</v>
      </c>
      <c r="DC33" s="1">
        <v>967500</v>
      </c>
      <c r="DD33" s="1"/>
      <c r="DE33" s="1"/>
      <c r="DF33" s="1">
        <v>634728</v>
      </c>
      <c r="DG33" s="1">
        <v>654735</v>
      </c>
      <c r="DH33" s="1"/>
      <c r="DI33" s="1"/>
      <c r="DJ33" s="1">
        <v>553598</v>
      </c>
      <c r="DK33" s="1">
        <v>3373120</v>
      </c>
      <c r="DL33" s="24"/>
      <c r="DM33" s="24"/>
      <c r="DN33" s="1"/>
      <c r="DO33" s="1"/>
      <c r="DP33" s="2">
        <v>2155826</v>
      </c>
      <c r="DQ33" s="1">
        <v>4995355</v>
      </c>
      <c r="DR33" s="2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2">
        <v>656319</v>
      </c>
      <c r="EQ33" s="1">
        <v>18788754</v>
      </c>
      <c r="ER33" s="1">
        <v>656319</v>
      </c>
      <c r="ES33" s="1">
        <v>17088754</v>
      </c>
      <c r="ET33" s="1"/>
      <c r="EU33" s="1"/>
      <c r="EV33" s="1">
        <v>109507</v>
      </c>
      <c r="EW33" s="1">
        <v>13376998</v>
      </c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>
        <v>93206</v>
      </c>
      <c r="FI33" s="1">
        <v>324290</v>
      </c>
      <c r="FJ33" s="1">
        <v>209117</v>
      </c>
      <c r="FK33" s="1">
        <v>1149512</v>
      </c>
      <c r="FL33" s="1"/>
      <c r="FM33" s="1"/>
      <c r="FN33" s="1">
        <v>84624</v>
      </c>
      <c r="FO33" s="1">
        <v>535810</v>
      </c>
      <c r="FP33" s="1"/>
      <c r="FQ33" s="1">
        <v>5903</v>
      </c>
      <c r="FR33" s="1">
        <v>113091</v>
      </c>
      <c r="FS33" s="1">
        <v>586387</v>
      </c>
      <c r="FT33" s="1"/>
      <c r="FU33" s="1"/>
      <c r="FV33" s="1">
        <v>0</v>
      </c>
      <c r="FW33" s="1">
        <v>1700000</v>
      </c>
      <c r="FX33" s="1"/>
      <c r="FY33" s="1"/>
      <c r="FZ33" s="1">
        <v>46774</v>
      </c>
      <c r="GA33" s="1">
        <v>1109854</v>
      </c>
      <c r="GB33" s="1">
        <v>656319</v>
      </c>
      <c r="GC33" s="1">
        <v>18788754</v>
      </c>
      <c r="GD33" s="1">
        <v>2812145</v>
      </c>
      <c r="GE33" s="1">
        <v>23784109</v>
      </c>
    </row>
    <row r="34" spans="1:187" s="3" customFormat="1" ht="12" x14ac:dyDescent="0.2">
      <c r="A34" s="1">
        <v>20006</v>
      </c>
      <c r="B34" s="1">
        <v>0</v>
      </c>
      <c r="C34" s="1">
        <v>200049218</v>
      </c>
      <c r="D34" s="1" t="s">
        <v>125</v>
      </c>
      <c r="E34" s="1">
        <v>14</v>
      </c>
      <c r="F34" s="1">
        <v>1</v>
      </c>
      <c r="G34" s="1">
        <v>0</v>
      </c>
      <c r="H34" s="1">
        <v>1</v>
      </c>
      <c r="I34" s="1">
        <v>2021</v>
      </c>
      <c r="J34" s="1">
        <v>4</v>
      </c>
      <c r="K34" s="1" t="s">
        <v>0</v>
      </c>
      <c r="L34" s="1">
        <v>1</v>
      </c>
      <c r="M34" s="1">
        <v>30</v>
      </c>
      <c r="N34" s="1">
        <v>0</v>
      </c>
      <c r="O34" s="1">
        <v>44607.989710648151</v>
      </c>
      <c r="P34" s="1">
        <v>416868</v>
      </c>
      <c r="Q34" s="1">
        <v>508883</v>
      </c>
      <c r="R34" s="1">
        <v>307213</v>
      </c>
      <c r="S34" s="1">
        <v>314492</v>
      </c>
      <c r="T34" s="1">
        <v>109655</v>
      </c>
      <c r="U34" s="1">
        <v>194391</v>
      </c>
      <c r="V34" s="1"/>
      <c r="W34" s="1"/>
      <c r="X34" s="1"/>
      <c r="Y34" s="1"/>
      <c r="Z34" s="1"/>
      <c r="AA34" s="1"/>
      <c r="AB34" s="1">
        <v>160430</v>
      </c>
      <c r="AC34" s="1">
        <v>160430</v>
      </c>
      <c r="AD34" s="1">
        <v>20222</v>
      </c>
      <c r="AE34" s="1">
        <v>20222</v>
      </c>
      <c r="AF34" s="1">
        <v>140208</v>
      </c>
      <c r="AG34" s="1">
        <v>140208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2">
        <v>270085</v>
      </c>
      <c r="AW34" s="1">
        <v>354821</v>
      </c>
      <c r="AX34" s="1">
        <v>262630</v>
      </c>
      <c r="AY34" s="1">
        <v>486657</v>
      </c>
      <c r="AZ34" s="1">
        <v>155975</v>
      </c>
      <c r="BA34" s="1">
        <v>379459</v>
      </c>
      <c r="BB34" s="1">
        <v>899</v>
      </c>
      <c r="BC34" s="1">
        <v>1619</v>
      </c>
      <c r="BD34" s="1">
        <v>11989</v>
      </c>
      <c r="BE34" s="1">
        <v>11989</v>
      </c>
      <c r="BF34" s="1">
        <v>93767</v>
      </c>
      <c r="BG34" s="1">
        <v>93590</v>
      </c>
      <c r="BH34" s="1">
        <v>161318</v>
      </c>
      <c r="BI34" s="1"/>
      <c r="BJ34" s="1"/>
      <c r="BK34" s="1"/>
      <c r="BL34" s="1">
        <v>589706</v>
      </c>
      <c r="BM34" s="1">
        <v>336872</v>
      </c>
      <c r="BN34" s="1"/>
      <c r="BO34" s="1"/>
      <c r="BP34" s="1">
        <v>219390</v>
      </c>
      <c r="BQ34" s="1">
        <v>24368</v>
      </c>
      <c r="BR34" s="1"/>
      <c r="BS34" s="1"/>
      <c r="BT34" s="1">
        <v>295340</v>
      </c>
      <c r="BU34" s="1">
        <v>237310</v>
      </c>
      <c r="BV34" s="1"/>
      <c r="BW34" s="1">
        <v>231</v>
      </c>
      <c r="BX34" s="1">
        <v>68139</v>
      </c>
      <c r="BY34" s="1">
        <v>74963</v>
      </c>
      <c r="BZ34" s="1"/>
      <c r="CA34" s="1"/>
      <c r="CB34" s="1"/>
      <c r="CC34" s="1"/>
      <c r="CD34" s="1"/>
      <c r="CE34" s="1"/>
      <c r="CF34" s="1"/>
      <c r="CG34" s="1"/>
      <c r="CH34" s="1">
        <v>6837</v>
      </c>
      <c r="CI34" s="1"/>
      <c r="CJ34" s="1">
        <v>277852</v>
      </c>
      <c r="CK34" s="1">
        <v>6983</v>
      </c>
      <c r="CL34" s="1"/>
      <c r="CM34" s="1"/>
      <c r="CN34" s="1">
        <v>277852</v>
      </c>
      <c r="CO34" s="1">
        <v>6983</v>
      </c>
      <c r="CP34" s="1"/>
      <c r="CQ34" s="1"/>
      <c r="CR34" s="1"/>
      <c r="CS34" s="1"/>
      <c r="CT34" s="1"/>
      <c r="CU34" s="1"/>
      <c r="CV34" s="1"/>
      <c r="CW34" s="1"/>
      <c r="CX34" s="2">
        <v>1291506</v>
      </c>
      <c r="CY34" s="1">
        <v>830512</v>
      </c>
      <c r="CZ34" s="1">
        <v>1561591</v>
      </c>
      <c r="DA34" s="1">
        <v>1185333</v>
      </c>
      <c r="DB34" s="1">
        <v>643677</v>
      </c>
      <c r="DC34" s="1">
        <v>643677</v>
      </c>
      <c r="DD34" s="1"/>
      <c r="DE34" s="1"/>
      <c r="DF34" s="1">
        <v>51477</v>
      </c>
      <c r="DG34" s="1">
        <v>80547</v>
      </c>
      <c r="DH34" s="1"/>
      <c r="DI34" s="1"/>
      <c r="DJ34" s="1">
        <v>63101</v>
      </c>
      <c r="DK34" s="1">
        <v>63101</v>
      </c>
      <c r="DL34" s="24"/>
      <c r="DM34" s="24"/>
      <c r="DN34" s="1">
        <v>8377</v>
      </c>
      <c r="DO34" s="1">
        <v>315477</v>
      </c>
      <c r="DP34" s="2">
        <v>766632</v>
      </c>
      <c r="DQ34" s="1">
        <v>1102802</v>
      </c>
      <c r="DR34" s="2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2">
        <v>794959</v>
      </c>
      <c r="EQ34" s="1">
        <v>82531</v>
      </c>
      <c r="ER34" s="1">
        <v>794959</v>
      </c>
      <c r="ES34" s="1">
        <v>82531</v>
      </c>
      <c r="ET34" s="1"/>
      <c r="EU34" s="1"/>
      <c r="EV34" s="1">
        <v>2095</v>
      </c>
      <c r="EW34" s="1">
        <v>2273</v>
      </c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>
        <v>700891</v>
      </c>
      <c r="FI34" s="1">
        <v>2746</v>
      </c>
      <c r="FJ34" s="1">
        <v>10137</v>
      </c>
      <c r="FK34" s="1">
        <v>32215</v>
      </c>
      <c r="FL34" s="1"/>
      <c r="FM34" s="1"/>
      <c r="FN34" s="1">
        <v>5816</v>
      </c>
      <c r="FO34" s="1">
        <v>5549</v>
      </c>
      <c r="FP34" s="1"/>
      <c r="FQ34" s="1"/>
      <c r="FR34" s="1">
        <v>31180</v>
      </c>
      <c r="FS34" s="1"/>
      <c r="FT34" s="1"/>
      <c r="FU34" s="1"/>
      <c r="FV34" s="1"/>
      <c r="FW34" s="1"/>
      <c r="FX34" s="1"/>
      <c r="FY34" s="1"/>
      <c r="FZ34" s="1">
        <v>44840</v>
      </c>
      <c r="GA34" s="1">
        <v>39748</v>
      </c>
      <c r="GB34" s="1">
        <v>794959</v>
      </c>
      <c r="GC34" s="1">
        <v>82531</v>
      </c>
      <c r="GD34" s="1">
        <v>1561591</v>
      </c>
      <c r="GE34" s="1">
        <v>1185333</v>
      </c>
    </row>
    <row r="35" spans="1:187" s="3" customFormat="1" ht="12" x14ac:dyDescent="0.2">
      <c r="A35" s="1">
        <v>20006</v>
      </c>
      <c r="B35" s="1">
        <v>0</v>
      </c>
      <c r="C35" s="1">
        <v>200049218</v>
      </c>
      <c r="D35" s="1" t="s">
        <v>125</v>
      </c>
      <c r="E35" s="1">
        <v>14</v>
      </c>
      <c r="F35" s="1">
        <v>1</v>
      </c>
      <c r="G35" s="1">
        <v>0</v>
      </c>
      <c r="H35" s="1">
        <v>1</v>
      </c>
      <c r="I35" s="1">
        <v>2020</v>
      </c>
      <c r="J35" s="1">
        <v>4</v>
      </c>
      <c r="K35" s="1" t="s">
        <v>0</v>
      </c>
      <c r="L35" s="1">
        <v>1</v>
      </c>
      <c r="M35" s="1">
        <v>30</v>
      </c>
      <c r="N35" s="1">
        <v>0</v>
      </c>
      <c r="O35" s="1">
        <v>44244.675949074073</v>
      </c>
      <c r="P35" s="1">
        <v>416868</v>
      </c>
      <c r="Q35" s="1">
        <v>508883</v>
      </c>
      <c r="R35" s="1">
        <v>307213</v>
      </c>
      <c r="S35" s="1">
        <v>314492</v>
      </c>
      <c r="T35" s="1">
        <v>109655</v>
      </c>
      <c r="U35" s="1">
        <v>194391</v>
      </c>
      <c r="V35" s="1"/>
      <c r="W35" s="1"/>
      <c r="X35" s="1"/>
      <c r="Y35" s="1"/>
      <c r="Z35" s="1"/>
      <c r="AA35" s="1"/>
      <c r="AB35" s="1">
        <v>160430</v>
      </c>
      <c r="AC35" s="1">
        <v>160430</v>
      </c>
      <c r="AD35" s="1">
        <v>20222</v>
      </c>
      <c r="AE35" s="1">
        <v>20222</v>
      </c>
      <c r="AF35" s="1">
        <v>140208</v>
      </c>
      <c r="AG35" s="1">
        <v>140208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2">
        <v>270085</v>
      </c>
      <c r="AW35" s="1">
        <v>354821</v>
      </c>
      <c r="AX35" s="1">
        <v>262630</v>
      </c>
      <c r="AY35" s="1">
        <v>486657</v>
      </c>
      <c r="AZ35" s="1">
        <v>155975</v>
      </c>
      <c r="BA35" s="1">
        <v>379459</v>
      </c>
      <c r="BB35" s="1">
        <v>899</v>
      </c>
      <c r="BC35" s="1">
        <v>1619</v>
      </c>
      <c r="BD35" s="1">
        <v>11989</v>
      </c>
      <c r="BE35" s="1">
        <v>11989</v>
      </c>
      <c r="BF35" s="1">
        <v>93767</v>
      </c>
      <c r="BG35" s="1">
        <v>93590</v>
      </c>
      <c r="BH35" s="1">
        <v>161318</v>
      </c>
      <c r="BI35" s="1"/>
      <c r="BJ35" s="1"/>
      <c r="BK35" s="1"/>
      <c r="BL35" s="1">
        <v>589706</v>
      </c>
      <c r="BM35" s="1">
        <v>336872</v>
      </c>
      <c r="BN35" s="1"/>
      <c r="BO35" s="1"/>
      <c r="BP35" s="1">
        <v>219390</v>
      </c>
      <c r="BQ35" s="1">
        <v>24368</v>
      </c>
      <c r="BR35" s="1"/>
      <c r="BS35" s="1"/>
      <c r="BT35" s="1">
        <v>295340</v>
      </c>
      <c r="BU35" s="1">
        <v>237310</v>
      </c>
      <c r="BV35" s="1"/>
      <c r="BW35" s="1">
        <v>231</v>
      </c>
      <c r="BX35" s="1">
        <v>68139</v>
      </c>
      <c r="BY35" s="1">
        <v>74963</v>
      </c>
      <c r="BZ35" s="1"/>
      <c r="CA35" s="1"/>
      <c r="CB35" s="1"/>
      <c r="CC35" s="1"/>
      <c r="CD35" s="1"/>
      <c r="CE35" s="1"/>
      <c r="CF35" s="1"/>
      <c r="CG35" s="1"/>
      <c r="CH35" s="1">
        <v>6837</v>
      </c>
      <c r="CI35" s="1"/>
      <c r="CJ35" s="1">
        <v>277852</v>
      </c>
      <c r="CK35" s="1">
        <v>6983</v>
      </c>
      <c r="CL35" s="1"/>
      <c r="CM35" s="1"/>
      <c r="CN35" s="1">
        <v>277852</v>
      </c>
      <c r="CO35" s="1">
        <v>6983</v>
      </c>
      <c r="CP35" s="1"/>
      <c r="CQ35" s="1"/>
      <c r="CR35" s="1"/>
      <c r="CS35" s="1"/>
      <c r="CT35" s="1"/>
      <c r="CU35" s="1"/>
      <c r="CV35" s="1"/>
      <c r="CW35" s="1"/>
      <c r="CX35" s="2">
        <v>1291506</v>
      </c>
      <c r="CY35" s="1">
        <v>830512</v>
      </c>
      <c r="CZ35" s="1">
        <v>1561591</v>
      </c>
      <c r="DA35" s="1">
        <v>1185333</v>
      </c>
      <c r="DB35" s="1">
        <v>643677</v>
      </c>
      <c r="DC35" s="1">
        <v>643677</v>
      </c>
      <c r="DD35" s="1"/>
      <c r="DE35" s="1"/>
      <c r="DF35" s="1">
        <v>51477</v>
      </c>
      <c r="DG35" s="1">
        <v>80547</v>
      </c>
      <c r="DH35" s="1"/>
      <c r="DI35" s="1"/>
      <c r="DJ35" s="1">
        <v>63101</v>
      </c>
      <c r="DK35" s="1">
        <v>63101</v>
      </c>
      <c r="DL35" s="24"/>
      <c r="DM35" s="24"/>
      <c r="DN35" s="1">
        <v>8377</v>
      </c>
      <c r="DO35" s="1">
        <v>315477</v>
      </c>
      <c r="DP35" s="2">
        <v>766632</v>
      </c>
      <c r="DQ35" s="1">
        <v>1102802</v>
      </c>
      <c r="DR35" s="2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2">
        <v>794959</v>
      </c>
      <c r="EQ35" s="1">
        <v>82531</v>
      </c>
      <c r="ER35" s="1">
        <v>794959</v>
      </c>
      <c r="ES35" s="1">
        <v>82531</v>
      </c>
      <c r="ET35" s="1"/>
      <c r="EU35" s="1"/>
      <c r="EV35" s="1">
        <v>2095</v>
      </c>
      <c r="EW35" s="1">
        <v>2273</v>
      </c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>
        <v>700891</v>
      </c>
      <c r="FI35" s="1">
        <v>2746</v>
      </c>
      <c r="FJ35" s="1">
        <v>10137</v>
      </c>
      <c r="FK35" s="1">
        <v>32215</v>
      </c>
      <c r="FL35" s="1"/>
      <c r="FM35" s="1"/>
      <c r="FN35" s="1">
        <v>5816</v>
      </c>
      <c r="FO35" s="1">
        <v>5549</v>
      </c>
      <c r="FP35" s="1"/>
      <c r="FQ35" s="1"/>
      <c r="FR35" s="1">
        <v>31180</v>
      </c>
      <c r="FS35" s="1"/>
      <c r="FT35" s="1"/>
      <c r="FU35" s="1"/>
      <c r="FV35" s="1"/>
      <c r="FW35" s="1"/>
      <c r="FX35" s="1"/>
      <c r="FY35" s="1"/>
      <c r="FZ35" s="1">
        <v>44840</v>
      </c>
      <c r="GA35" s="1">
        <v>39748</v>
      </c>
      <c r="GB35" s="1">
        <v>794959</v>
      </c>
      <c r="GC35" s="1">
        <v>82531</v>
      </c>
      <c r="GD35" s="1">
        <v>1561591</v>
      </c>
      <c r="GE35" s="1">
        <v>1185333</v>
      </c>
    </row>
    <row r="36" spans="1:187" s="3" customFormat="1" ht="12" x14ac:dyDescent="0.2">
      <c r="A36" s="1">
        <v>20006</v>
      </c>
      <c r="B36" s="1">
        <v>0</v>
      </c>
      <c r="C36" s="1">
        <v>200049218</v>
      </c>
      <c r="D36" s="1" t="s">
        <v>125</v>
      </c>
      <c r="E36" s="1">
        <v>14</v>
      </c>
      <c r="F36" s="1">
        <v>1</v>
      </c>
      <c r="G36" s="1">
        <v>0</v>
      </c>
      <c r="H36" s="1">
        <v>1</v>
      </c>
      <c r="I36" s="1">
        <v>2019</v>
      </c>
      <c r="J36" s="1">
        <v>4</v>
      </c>
      <c r="K36" s="1" t="s">
        <v>0</v>
      </c>
      <c r="L36" s="1">
        <v>2</v>
      </c>
      <c r="M36" s="1">
        <v>30</v>
      </c>
      <c r="N36" s="1">
        <v>0</v>
      </c>
      <c r="O36" s="1">
        <v>44082.478842592594</v>
      </c>
      <c r="P36" s="1">
        <v>422543</v>
      </c>
      <c r="Q36" s="1">
        <v>416868</v>
      </c>
      <c r="R36" s="1">
        <v>309484</v>
      </c>
      <c r="S36" s="1">
        <v>307213</v>
      </c>
      <c r="T36" s="1">
        <v>113059</v>
      </c>
      <c r="U36" s="1">
        <v>109655</v>
      </c>
      <c r="V36" s="1"/>
      <c r="W36" s="1"/>
      <c r="X36" s="1"/>
      <c r="Y36" s="1"/>
      <c r="Z36" s="1"/>
      <c r="AA36" s="1"/>
      <c r="AB36" s="1">
        <v>157707</v>
      </c>
      <c r="AC36" s="1">
        <v>160430</v>
      </c>
      <c r="AD36" s="1">
        <v>17499</v>
      </c>
      <c r="AE36" s="1">
        <v>20222</v>
      </c>
      <c r="AF36" s="1">
        <v>140208</v>
      </c>
      <c r="AG36" s="1">
        <v>140208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2">
        <v>270766</v>
      </c>
      <c r="AW36" s="1">
        <v>270085</v>
      </c>
      <c r="AX36" s="1">
        <v>260632</v>
      </c>
      <c r="AY36" s="1">
        <v>262630</v>
      </c>
      <c r="AZ36" s="1">
        <v>151395</v>
      </c>
      <c r="BA36" s="1">
        <v>155975</v>
      </c>
      <c r="BB36" s="1">
        <v>3394</v>
      </c>
      <c r="BC36" s="1">
        <v>899</v>
      </c>
      <c r="BD36" s="1">
        <v>11989</v>
      </c>
      <c r="BE36" s="1">
        <v>11989</v>
      </c>
      <c r="BF36" s="1">
        <v>93854</v>
      </c>
      <c r="BG36" s="1">
        <v>93767</v>
      </c>
      <c r="BH36" s="1">
        <v>110000</v>
      </c>
      <c r="BI36" s="1"/>
      <c r="BJ36" s="1"/>
      <c r="BK36" s="1"/>
      <c r="BL36" s="1">
        <v>265920</v>
      </c>
      <c r="BM36" s="1">
        <v>589706</v>
      </c>
      <c r="BN36" s="1"/>
      <c r="BO36" s="1"/>
      <c r="BP36" s="1">
        <v>36275</v>
      </c>
      <c r="BQ36" s="1">
        <v>219390</v>
      </c>
      <c r="BR36" s="1"/>
      <c r="BS36" s="1"/>
      <c r="BT36" s="1">
        <v>190049</v>
      </c>
      <c r="BU36" s="1">
        <v>295340</v>
      </c>
      <c r="BV36" s="1"/>
      <c r="BW36" s="1"/>
      <c r="BX36" s="1">
        <v>36070</v>
      </c>
      <c r="BY36" s="1">
        <v>68139</v>
      </c>
      <c r="BZ36" s="1"/>
      <c r="CA36" s="1"/>
      <c r="CB36" s="1"/>
      <c r="CC36" s="1"/>
      <c r="CD36" s="1"/>
      <c r="CE36" s="1"/>
      <c r="CF36" s="1"/>
      <c r="CG36" s="1"/>
      <c r="CH36" s="1">
        <v>3526</v>
      </c>
      <c r="CI36" s="1">
        <v>6837</v>
      </c>
      <c r="CJ36" s="1">
        <v>8223</v>
      </c>
      <c r="CK36" s="1">
        <v>277852</v>
      </c>
      <c r="CL36" s="1"/>
      <c r="CM36" s="1"/>
      <c r="CN36" s="1">
        <v>8223</v>
      </c>
      <c r="CO36" s="1">
        <v>277852</v>
      </c>
      <c r="CP36" s="1"/>
      <c r="CQ36" s="1"/>
      <c r="CR36" s="1"/>
      <c r="CS36" s="1"/>
      <c r="CT36" s="1"/>
      <c r="CU36" s="1"/>
      <c r="CV36" s="1"/>
      <c r="CW36" s="1"/>
      <c r="CX36" s="2">
        <v>644775</v>
      </c>
      <c r="CY36" s="1">
        <v>1130188</v>
      </c>
      <c r="CZ36" s="1">
        <v>915541</v>
      </c>
      <c r="DA36" s="1">
        <v>1400273</v>
      </c>
      <c r="DB36" s="1">
        <v>643677</v>
      </c>
      <c r="DC36" s="1">
        <v>643677</v>
      </c>
      <c r="DD36" s="1"/>
      <c r="DE36" s="1"/>
      <c r="DF36" s="1">
        <v>46561</v>
      </c>
      <c r="DG36" s="1">
        <v>51477</v>
      </c>
      <c r="DH36" s="1"/>
      <c r="DI36" s="1"/>
      <c r="DJ36" s="1">
        <v>111525</v>
      </c>
      <c r="DK36" s="1">
        <v>-89840</v>
      </c>
      <c r="DL36" s="24">
        <v>6852</v>
      </c>
      <c r="DM36" s="24"/>
      <c r="DN36" s="1"/>
      <c r="DO36" s="1"/>
      <c r="DP36" s="2">
        <v>808615</v>
      </c>
      <c r="DQ36" s="1">
        <v>605314</v>
      </c>
      <c r="DR36" s="2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2">
        <v>106926</v>
      </c>
      <c r="EQ36" s="1">
        <v>794959</v>
      </c>
      <c r="ER36" s="1">
        <v>106926</v>
      </c>
      <c r="ES36" s="1">
        <v>794959</v>
      </c>
      <c r="ET36" s="1"/>
      <c r="EU36" s="1"/>
      <c r="EV36" s="1">
        <v>3</v>
      </c>
      <c r="EW36" s="1">
        <v>2095</v>
      </c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>
        <v>5657</v>
      </c>
      <c r="FI36" s="1">
        <v>700891</v>
      </c>
      <c r="FJ36" s="1">
        <v>28528</v>
      </c>
      <c r="FK36" s="1">
        <v>10137</v>
      </c>
      <c r="FL36" s="1"/>
      <c r="FM36" s="1"/>
      <c r="FN36" s="1">
        <v>5675</v>
      </c>
      <c r="FO36" s="1">
        <v>5816</v>
      </c>
      <c r="FP36" s="1"/>
      <c r="FQ36" s="1"/>
      <c r="FR36" s="1">
        <v>27061</v>
      </c>
      <c r="FS36" s="1">
        <v>31180</v>
      </c>
      <c r="FT36" s="1"/>
      <c r="FU36" s="1"/>
      <c r="FV36" s="1"/>
      <c r="FW36" s="1"/>
      <c r="FX36" s="1"/>
      <c r="FY36" s="1"/>
      <c r="FZ36" s="1">
        <v>40002</v>
      </c>
      <c r="GA36" s="1">
        <v>44840</v>
      </c>
      <c r="GB36" s="1">
        <v>106926</v>
      </c>
      <c r="GC36" s="1">
        <v>794959</v>
      </c>
      <c r="GD36" s="1">
        <v>915541</v>
      </c>
      <c r="GE36" s="1">
        <v>1400273</v>
      </c>
    </row>
    <row r="37" spans="1:187" s="3" customFormat="1" x14ac:dyDescent="0.25">
      <c r="A37" s="1">
        <v>20006</v>
      </c>
      <c r="B37" s="1">
        <v>0</v>
      </c>
      <c r="C37" s="3">
        <v>200049218</v>
      </c>
      <c r="D37" s="3" t="s">
        <v>125</v>
      </c>
      <c r="E37" s="4">
        <v>14</v>
      </c>
      <c r="F37" s="4">
        <v>1</v>
      </c>
      <c r="G37" s="4">
        <v>0</v>
      </c>
      <c r="H37" s="4">
        <v>1</v>
      </c>
      <c r="I37" s="1">
        <v>2018</v>
      </c>
      <c r="J37" s="1">
        <v>4</v>
      </c>
      <c r="K37" s="3" t="s">
        <v>0</v>
      </c>
      <c r="L37" s="1">
        <v>1</v>
      </c>
      <c r="M37" s="1">
        <v>30</v>
      </c>
      <c r="N37" s="5">
        <v>0</v>
      </c>
      <c r="O37" s="6">
        <v>43510.72446759259</v>
      </c>
      <c r="P37" s="1">
        <v>422008</v>
      </c>
      <c r="Q37" s="1">
        <v>422543</v>
      </c>
      <c r="R37" s="1">
        <v>303059</v>
      </c>
      <c r="S37" s="1">
        <v>309484</v>
      </c>
      <c r="T37" s="1">
        <v>118949</v>
      </c>
      <c r="U37" s="1">
        <v>113059</v>
      </c>
      <c r="V37" s="1"/>
      <c r="W37" s="1"/>
      <c r="X37" s="1"/>
      <c r="Y37" s="1"/>
      <c r="Z37" s="1"/>
      <c r="AA37" s="1"/>
      <c r="AB37" s="1">
        <v>157707</v>
      </c>
      <c r="AC37" s="1">
        <v>157707</v>
      </c>
      <c r="AD37" s="1">
        <v>17499</v>
      </c>
      <c r="AE37" s="1">
        <v>17499</v>
      </c>
      <c r="AF37" s="1">
        <v>140208</v>
      </c>
      <c r="AG37" s="1">
        <v>140208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2">
        <v>276656</v>
      </c>
      <c r="AW37" s="1">
        <v>270766</v>
      </c>
      <c r="AX37" s="1">
        <v>265991</v>
      </c>
      <c r="AY37" s="1">
        <v>260632</v>
      </c>
      <c r="AZ37" s="1">
        <v>150444</v>
      </c>
      <c r="BA37" s="1">
        <v>151395</v>
      </c>
      <c r="BB37" s="1">
        <v>653</v>
      </c>
      <c r="BC37" s="1">
        <v>3394</v>
      </c>
      <c r="BD37" s="1">
        <v>13582</v>
      </c>
      <c r="BE37" s="1">
        <v>11989</v>
      </c>
      <c r="BF37" s="1">
        <v>101312</v>
      </c>
      <c r="BG37" s="1">
        <v>93854</v>
      </c>
      <c r="BH37" s="1"/>
      <c r="BI37" s="1">
        <v>110000</v>
      </c>
      <c r="BJ37" s="1"/>
      <c r="BK37" s="1"/>
      <c r="BL37" s="1">
        <v>307960</v>
      </c>
      <c r="BM37" s="1">
        <v>265920</v>
      </c>
      <c r="BN37" s="1"/>
      <c r="BO37" s="1"/>
      <c r="BP37" s="1">
        <v>23006</v>
      </c>
      <c r="BQ37" s="1">
        <v>36275</v>
      </c>
      <c r="BR37" s="1"/>
      <c r="BS37" s="1"/>
      <c r="BT37" s="1">
        <v>269804</v>
      </c>
      <c r="BU37" s="1">
        <v>190049</v>
      </c>
      <c r="BV37" s="1"/>
      <c r="BW37" s="1"/>
      <c r="BX37" s="1">
        <v>11695</v>
      </c>
      <c r="BY37" s="1">
        <v>36070</v>
      </c>
      <c r="BZ37" s="1"/>
      <c r="CA37" s="1"/>
      <c r="CB37" s="1"/>
      <c r="CC37" s="1"/>
      <c r="CD37" s="1"/>
      <c r="CE37" s="1"/>
      <c r="CF37" s="1"/>
      <c r="CG37" s="1"/>
      <c r="CH37" s="1">
        <v>3455</v>
      </c>
      <c r="CI37" s="1">
        <v>3526</v>
      </c>
      <c r="CJ37" s="1">
        <v>54720</v>
      </c>
      <c r="CK37" s="1">
        <v>8223</v>
      </c>
      <c r="CL37" s="1"/>
      <c r="CM37" s="1"/>
      <c r="CN37" s="1">
        <v>54720</v>
      </c>
      <c r="CO37" s="1">
        <v>8223</v>
      </c>
      <c r="CP37" s="1"/>
      <c r="CQ37" s="1"/>
      <c r="CR37" s="1"/>
      <c r="CS37" s="1"/>
      <c r="CT37" s="1"/>
      <c r="CU37" s="1"/>
      <c r="CV37" s="1"/>
      <c r="CW37" s="1"/>
      <c r="CX37" s="2">
        <v>628671</v>
      </c>
      <c r="CY37" s="1">
        <v>644775</v>
      </c>
      <c r="CZ37" s="1">
        <v>905327</v>
      </c>
      <c r="DA37" s="1">
        <v>915541</v>
      </c>
      <c r="DB37" s="1">
        <v>643677</v>
      </c>
      <c r="DC37" s="1">
        <v>643677</v>
      </c>
      <c r="DD37" s="1"/>
      <c r="DE37" s="1"/>
      <c r="DF37" s="1">
        <v>30412</v>
      </c>
      <c r="DG37" s="1">
        <v>46561</v>
      </c>
      <c r="DH37" s="1"/>
      <c r="DI37" s="1"/>
      <c r="DJ37" s="1">
        <v>0</v>
      </c>
      <c r="DK37" s="1">
        <v>111525</v>
      </c>
      <c r="DL37" s="24">
        <v>175917</v>
      </c>
      <c r="DM37" s="24">
        <v>6852</v>
      </c>
      <c r="DN37" s="1"/>
      <c r="DO37" s="1"/>
      <c r="DP37" s="2">
        <v>850006</v>
      </c>
      <c r="DQ37" s="1">
        <v>808615</v>
      </c>
      <c r="DR37" s="2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2">
        <v>55321</v>
      </c>
      <c r="EQ37" s="1">
        <v>106926</v>
      </c>
      <c r="ER37" s="1">
        <v>55321</v>
      </c>
      <c r="ES37" s="1">
        <v>106926</v>
      </c>
      <c r="ET37" s="1"/>
      <c r="EU37" s="1"/>
      <c r="EV37" s="1">
        <v>79</v>
      </c>
      <c r="EW37" s="1">
        <v>3</v>
      </c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>
        <v>4906</v>
      </c>
      <c r="FI37" s="1">
        <v>5657</v>
      </c>
      <c r="FJ37" s="1">
        <v>16040</v>
      </c>
      <c r="FK37" s="1">
        <v>28528</v>
      </c>
      <c r="FL37" s="1"/>
      <c r="FM37" s="1"/>
      <c r="FN37" s="1"/>
      <c r="FO37" s="1">
        <v>5675</v>
      </c>
      <c r="FP37" s="1">
        <v>3563</v>
      </c>
      <c r="FQ37" s="1"/>
      <c r="FR37" s="1">
        <v>823</v>
      </c>
      <c r="FS37" s="1">
        <v>27061</v>
      </c>
      <c r="FT37" s="1"/>
      <c r="FU37" s="1"/>
      <c r="FV37" s="1"/>
      <c r="FW37" s="1"/>
      <c r="FX37" s="1"/>
      <c r="FY37" s="1"/>
      <c r="FZ37" s="1">
        <v>29910</v>
      </c>
      <c r="GA37" s="1">
        <v>40002</v>
      </c>
      <c r="GB37" s="1">
        <v>55321</v>
      </c>
      <c r="GC37" s="1">
        <v>106926</v>
      </c>
      <c r="GD37" s="1">
        <v>905327</v>
      </c>
      <c r="GE37" s="1">
        <v>915541</v>
      </c>
    </row>
    <row r="38" spans="1:187" s="3" customFormat="1" ht="12" x14ac:dyDescent="0.2">
      <c r="A38" s="1">
        <v>20006</v>
      </c>
      <c r="B38" s="1">
        <v>0</v>
      </c>
      <c r="C38" s="1">
        <v>200049541</v>
      </c>
      <c r="D38" s="1" t="s">
        <v>126</v>
      </c>
      <c r="E38" s="1">
        <v>14</v>
      </c>
      <c r="F38" s="1">
        <v>1</v>
      </c>
      <c r="G38" s="1">
        <v>0</v>
      </c>
      <c r="H38" s="1">
        <v>1</v>
      </c>
      <c r="I38" s="1">
        <v>2021</v>
      </c>
      <c r="J38" s="1">
        <v>4</v>
      </c>
      <c r="K38" s="1" t="s">
        <v>0</v>
      </c>
      <c r="L38" s="1">
        <v>1</v>
      </c>
      <c r="M38" s="1">
        <v>30</v>
      </c>
      <c r="N38" s="1">
        <v>0</v>
      </c>
      <c r="O38" s="1">
        <v>44607.8515162037</v>
      </c>
      <c r="P38" s="1">
        <v>3376243</v>
      </c>
      <c r="Q38" s="1">
        <v>3830792</v>
      </c>
      <c r="R38" s="1">
        <v>2384285</v>
      </c>
      <c r="S38" s="1">
        <v>2580408</v>
      </c>
      <c r="T38" s="1">
        <v>991958</v>
      </c>
      <c r="U38" s="1">
        <v>1250384</v>
      </c>
      <c r="V38" s="1"/>
      <c r="W38" s="1"/>
      <c r="X38" s="1"/>
      <c r="Y38" s="1"/>
      <c r="Z38" s="1"/>
      <c r="AA38" s="1"/>
      <c r="AB38" s="1">
        <v>34092</v>
      </c>
      <c r="AC38" s="1">
        <v>34092</v>
      </c>
      <c r="AD38" s="1">
        <v>3516</v>
      </c>
      <c r="AE38" s="1">
        <v>3516</v>
      </c>
      <c r="AF38" s="1">
        <v>30576</v>
      </c>
      <c r="AG38" s="1">
        <v>30576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2">
        <v>1026050</v>
      </c>
      <c r="AW38" s="1">
        <v>1284476</v>
      </c>
      <c r="AX38" s="1">
        <v>4887885</v>
      </c>
      <c r="AY38" s="1">
        <v>8529269</v>
      </c>
      <c r="AZ38" s="1">
        <v>1206018</v>
      </c>
      <c r="BA38" s="1">
        <v>2398715</v>
      </c>
      <c r="BB38" s="1"/>
      <c r="BC38" s="1"/>
      <c r="BD38" s="1">
        <v>3681867</v>
      </c>
      <c r="BE38" s="1">
        <v>6130554</v>
      </c>
      <c r="BF38" s="1"/>
      <c r="BG38" s="1"/>
      <c r="BH38" s="1">
        <v>7932</v>
      </c>
      <c r="BI38" s="1">
        <v>13626</v>
      </c>
      <c r="BJ38" s="1"/>
      <c r="BK38" s="1"/>
      <c r="BL38" s="1">
        <v>2808173</v>
      </c>
      <c r="BM38" s="1">
        <v>1912300</v>
      </c>
      <c r="BN38" s="1"/>
      <c r="BO38" s="1"/>
      <c r="BP38" s="1">
        <v>2061627</v>
      </c>
      <c r="BQ38" s="1">
        <v>951722</v>
      </c>
      <c r="BR38" s="1"/>
      <c r="BS38" s="1"/>
      <c r="BT38" s="1"/>
      <c r="BU38" s="1"/>
      <c r="BV38" s="1"/>
      <c r="BW38" s="1"/>
      <c r="BX38" s="1">
        <v>625722</v>
      </c>
      <c r="BY38" s="1">
        <v>413157</v>
      </c>
      <c r="BZ38" s="1">
        <v>83</v>
      </c>
      <c r="CA38" s="1">
        <v>205996</v>
      </c>
      <c r="CB38" s="1">
        <v>688</v>
      </c>
      <c r="CC38" s="1">
        <v>52</v>
      </c>
      <c r="CD38" s="1"/>
      <c r="CE38" s="1"/>
      <c r="CF38" s="1">
        <v>1538</v>
      </c>
      <c r="CG38" s="1">
        <v>1583</v>
      </c>
      <c r="CH38" s="1">
        <v>118515</v>
      </c>
      <c r="CI38" s="1">
        <v>339790</v>
      </c>
      <c r="CJ38" s="1">
        <v>22108</v>
      </c>
      <c r="CK38" s="1">
        <v>217047</v>
      </c>
      <c r="CL38" s="1"/>
      <c r="CM38" s="1"/>
      <c r="CN38" s="1">
        <v>13694</v>
      </c>
      <c r="CO38" s="1">
        <v>520</v>
      </c>
      <c r="CP38" s="1">
        <v>8414</v>
      </c>
      <c r="CQ38" s="1">
        <v>8704</v>
      </c>
      <c r="CR38" s="1"/>
      <c r="CS38" s="1">
        <v>207823</v>
      </c>
      <c r="CT38" s="1"/>
      <c r="CU38" s="1"/>
      <c r="CV38" s="1"/>
      <c r="CW38" s="1"/>
      <c r="CX38" s="2">
        <v>7726098</v>
      </c>
      <c r="CY38" s="1">
        <v>10672242</v>
      </c>
      <c r="CZ38" s="1">
        <v>8752148</v>
      </c>
      <c r="DA38" s="1">
        <v>11956718</v>
      </c>
      <c r="DB38" s="1">
        <v>941427</v>
      </c>
      <c r="DC38" s="1">
        <v>941427</v>
      </c>
      <c r="DD38" s="1">
        <v>16351</v>
      </c>
      <c r="DE38" s="1">
        <v>16351</v>
      </c>
      <c r="DF38" s="1">
        <v>823991</v>
      </c>
      <c r="DG38" s="1">
        <v>820870</v>
      </c>
      <c r="DH38" s="1">
        <v>225</v>
      </c>
      <c r="DI38" s="1"/>
      <c r="DJ38" s="1">
        <v>5379961</v>
      </c>
      <c r="DK38" s="1">
        <v>6264247</v>
      </c>
      <c r="DL38" s="24">
        <v>135</v>
      </c>
      <c r="DM38" s="24">
        <v>135</v>
      </c>
      <c r="DN38" s="1"/>
      <c r="DO38" s="1"/>
      <c r="DP38" s="2">
        <v>7161640</v>
      </c>
      <c r="DQ38" s="1">
        <v>8043030</v>
      </c>
      <c r="DR38" s="2"/>
      <c r="DS38" s="1">
        <v>551192</v>
      </c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>
        <v>551192</v>
      </c>
      <c r="EL38" s="1"/>
      <c r="EM38" s="1"/>
      <c r="EN38" s="1"/>
      <c r="EO38" s="1"/>
      <c r="EP38" s="2">
        <v>1590508</v>
      </c>
      <c r="EQ38" s="1">
        <v>3362496</v>
      </c>
      <c r="ER38" s="1">
        <v>1590508</v>
      </c>
      <c r="ES38" s="1">
        <v>3362496</v>
      </c>
      <c r="ET38" s="1"/>
      <c r="EU38" s="1"/>
      <c r="EV38" s="1">
        <v>655824</v>
      </c>
      <c r="EW38" s="1">
        <v>2725923</v>
      </c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>
        <v>2510</v>
      </c>
      <c r="FI38" s="1">
        <v>20286</v>
      </c>
      <c r="FJ38" s="1">
        <v>237512</v>
      </c>
      <c r="FK38" s="1">
        <v>82612</v>
      </c>
      <c r="FL38" s="1"/>
      <c r="FM38" s="1"/>
      <c r="FN38" s="1">
        <v>80300</v>
      </c>
      <c r="FO38" s="1">
        <v>80494</v>
      </c>
      <c r="FP38" s="1"/>
      <c r="FQ38" s="1"/>
      <c r="FR38" s="1">
        <v>343642</v>
      </c>
      <c r="FS38" s="1">
        <v>355660</v>
      </c>
      <c r="FT38" s="1"/>
      <c r="FU38" s="1"/>
      <c r="FV38" s="1"/>
      <c r="FW38" s="1"/>
      <c r="FX38" s="1"/>
      <c r="FY38" s="1"/>
      <c r="FZ38" s="1">
        <v>270720</v>
      </c>
      <c r="GA38" s="1">
        <v>97521</v>
      </c>
      <c r="GB38" s="1">
        <v>1590508</v>
      </c>
      <c r="GC38" s="1">
        <v>3913688</v>
      </c>
      <c r="GD38" s="1">
        <v>8752148</v>
      </c>
      <c r="GE38" s="1">
        <v>11956718</v>
      </c>
    </row>
    <row r="39" spans="1:187" s="3" customFormat="1" ht="12" x14ac:dyDescent="0.2">
      <c r="A39" s="1">
        <v>20006</v>
      </c>
      <c r="B39" s="1">
        <v>0</v>
      </c>
      <c r="C39" s="1">
        <v>200049541</v>
      </c>
      <c r="D39" s="1" t="s">
        <v>126</v>
      </c>
      <c r="E39" s="1">
        <v>14</v>
      </c>
      <c r="F39" s="1">
        <v>1</v>
      </c>
      <c r="G39" s="1">
        <v>0</v>
      </c>
      <c r="H39" s="1">
        <v>1</v>
      </c>
      <c r="I39" s="1">
        <v>2020</v>
      </c>
      <c r="J39" s="1">
        <v>4</v>
      </c>
      <c r="K39" s="1" t="s">
        <v>0</v>
      </c>
      <c r="L39" s="1">
        <v>2</v>
      </c>
      <c r="M39" s="1">
        <v>30</v>
      </c>
      <c r="N39" s="1">
        <v>0</v>
      </c>
      <c r="O39" s="1">
        <v>44323.532349537039</v>
      </c>
      <c r="P39" s="1">
        <v>3155741</v>
      </c>
      <c r="Q39" s="1">
        <v>3376243</v>
      </c>
      <c r="R39" s="1">
        <v>2207635</v>
      </c>
      <c r="S39" s="1">
        <v>2384285</v>
      </c>
      <c r="T39" s="1">
        <v>948106</v>
      </c>
      <c r="U39" s="1">
        <v>991958</v>
      </c>
      <c r="V39" s="1"/>
      <c r="W39" s="1"/>
      <c r="X39" s="1"/>
      <c r="Y39" s="1"/>
      <c r="Z39" s="1"/>
      <c r="AA39" s="1"/>
      <c r="AB39" s="1">
        <v>34092</v>
      </c>
      <c r="AC39" s="1">
        <v>34092</v>
      </c>
      <c r="AD39" s="1">
        <v>3516</v>
      </c>
      <c r="AE39" s="1">
        <v>3516</v>
      </c>
      <c r="AF39" s="1">
        <v>30576</v>
      </c>
      <c r="AG39" s="1">
        <v>30576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>
        <v>1000</v>
      </c>
      <c r="AU39" s="1"/>
      <c r="AV39" s="2">
        <v>983198</v>
      </c>
      <c r="AW39" s="1">
        <v>1026050</v>
      </c>
      <c r="AX39" s="1">
        <v>5648590</v>
      </c>
      <c r="AY39" s="1">
        <v>4887885</v>
      </c>
      <c r="AZ39" s="1">
        <v>1888836</v>
      </c>
      <c r="BA39" s="1">
        <v>1206018</v>
      </c>
      <c r="BB39" s="1"/>
      <c r="BC39" s="1"/>
      <c r="BD39" s="1">
        <v>3759754</v>
      </c>
      <c r="BE39" s="1">
        <v>3681867</v>
      </c>
      <c r="BF39" s="1"/>
      <c r="BG39" s="1"/>
      <c r="BH39" s="1">
        <v>9722</v>
      </c>
      <c r="BI39" s="1">
        <v>7932</v>
      </c>
      <c r="BJ39" s="1"/>
      <c r="BK39" s="1"/>
      <c r="BL39" s="1">
        <v>389597</v>
      </c>
      <c r="BM39" s="1">
        <v>2808173</v>
      </c>
      <c r="BN39" s="1"/>
      <c r="BO39" s="1"/>
      <c r="BP39" s="1">
        <v>354</v>
      </c>
      <c r="BQ39" s="1">
        <v>2061627</v>
      </c>
      <c r="BR39" s="1"/>
      <c r="BS39" s="1"/>
      <c r="BT39" s="1"/>
      <c r="BU39" s="1"/>
      <c r="BV39" s="1"/>
      <c r="BW39" s="1"/>
      <c r="BX39" s="1">
        <v>171624</v>
      </c>
      <c r="BY39" s="1">
        <v>625722</v>
      </c>
      <c r="BZ39" s="1">
        <v>45629</v>
      </c>
      <c r="CA39" s="1">
        <v>83</v>
      </c>
      <c r="CB39" s="1">
        <v>943</v>
      </c>
      <c r="CC39" s="1">
        <v>688</v>
      </c>
      <c r="CD39" s="1"/>
      <c r="CE39" s="1"/>
      <c r="CF39" s="1">
        <v>927</v>
      </c>
      <c r="CG39" s="1">
        <v>1538</v>
      </c>
      <c r="CH39" s="1">
        <v>170120</v>
      </c>
      <c r="CI39" s="1">
        <v>118515</v>
      </c>
      <c r="CJ39" s="1">
        <v>7697</v>
      </c>
      <c r="CK39" s="1">
        <v>22108</v>
      </c>
      <c r="CL39" s="1"/>
      <c r="CM39" s="1"/>
      <c r="CN39" s="1">
        <v>61</v>
      </c>
      <c r="CO39" s="1">
        <v>13694</v>
      </c>
      <c r="CP39" s="1">
        <v>7636</v>
      </c>
      <c r="CQ39" s="1">
        <v>8414</v>
      </c>
      <c r="CR39" s="1"/>
      <c r="CS39" s="1"/>
      <c r="CT39" s="1"/>
      <c r="CU39" s="1"/>
      <c r="CV39" s="1"/>
      <c r="CW39" s="1"/>
      <c r="CX39" s="2">
        <v>6055606</v>
      </c>
      <c r="CY39" s="1">
        <v>7726098</v>
      </c>
      <c r="CZ39" s="1">
        <v>7038804</v>
      </c>
      <c r="DA39" s="1">
        <v>8752148</v>
      </c>
      <c r="DB39" s="1">
        <v>941427</v>
      </c>
      <c r="DC39" s="1">
        <v>941427</v>
      </c>
      <c r="DD39" s="1">
        <v>16351</v>
      </c>
      <c r="DE39" s="1">
        <v>16351</v>
      </c>
      <c r="DF39" s="1">
        <v>800601</v>
      </c>
      <c r="DG39" s="1">
        <v>823991</v>
      </c>
      <c r="DH39" s="1">
        <v>225</v>
      </c>
      <c r="DI39" s="1">
        <v>225</v>
      </c>
      <c r="DJ39" s="1">
        <v>4006571</v>
      </c>
      <c r="DK39" s="1">
        <v>5379961</v>
      </c>
      <c r="DL39" s="24">
        <v>135</v>
      </c>
      <c r="DM39" s="24">
        <v>135</v>
      </c>
      <c r="DN39" s="1"/>
      <c r="DO39" s="1"/>
      <c r="DP39" s="2">
        <v>5764860</v>
      </c>
      <c r="DQ39" s="1">
        <v>7161640</v>
      </c>
      <c r="DR39" s="2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2">
        <v>1273944</v>
      </c>
      <c r="EQ39" s="1">
        <v>1590508</v>
      </c>
      <c r="ER39" s="1">
        <v>1273944</v>
      </c>
      <c r="ES39" s="1">
        <v>1590508</v>
      </c>
      <c r="ET39" s="1"/>
      <c r="EU39" s="1"/>
      <c r="EV39" s="1">
        <v>500509</v>
      </c>
      <c r="EW39" s="1">
        <v>655824</v>
      </c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>
        <v>99236</v>
      </c>
      <c r="FI39" s="1">
        <v>2510</v>
      </c>
      <c r="FJ39" s="1">
        <v>78928</v>
      </c>
      <c r="FK39" s="1">
        <v>237512</v>
      </c>
      <c r="FL39" s="1"/>
      <c r="FM39" s="1"/>
      <c r="FN39" s="1">
        <v>112249</v>
      </c>
      <c r="FO39" s="1">
        <v>80300</v>
      </c>
      <c r="FP39" s="1"/>
      <c r="FQ39" s="1"/>
      <c r="FR39" s="1">
        <v>306032</v>
      </c>
      <c r="FS39" s="1">
        <v>343642</v>
      </c>
      <c r="FT39" s="1"/>
      <c r="FU39" s="1"/>
      <c r="FV39" s="1"/>
      <c r="FW39" s="1"/>
      <c r="FX39" s="1"/>
      <c r="FY39" s="1"/>
      <c r="FZ39" s="1">
        <v>176990</v>
      </c>
      <c r="GA39" s="1">
        <v>270720</v>
      </c>
      <c r="GB39" s="1">
        <v>1273944</v>
      </c>
      <c r="GC39" s="1">
        <v>1590508</v>
      </c>
      <c r="GD39" s="1">
        <v>7038804</v>
      </c>
      <c r="GE39" s="1">
        <v>8752148</v>
      </c>
    </row>
    <row r="40" spans="1:187" s="3" customFormat="1" ht="12" x14ac:dyDescent="0.2">
      <c r="A40" s="1">
        <v>20006</v>
      </c>
      <c r="B40" s="1">
        <v>0</v>
      </c>
      <c r="C40" s="1">
        <v>200049541</v>
      </c>
      <c r="D40" s="1" t="s">
        <v>126</v>
      </c>
      <c r="E40" s="1">
        <v>14</v>
      </c>
      <c r="F40" s="1">
        <v>1</v>
      </c>
      <c r="G40" s="1">
        <v>0</v>
      </c>
      <c r="H40" s="1">
        <v>1</v>
      </c>
      <c r="I40" s="1">
        <v>2019</v>
      </c>
      <c r="J40" s="1">
        <v>4</v>
      </c>
      <c r="K40" s="1" t="s">
        <v>0</v>
      </c>
      <c r="L40" s="1">
        <v>1</v>
      </c>
      <c r="M40" s="1">
        <v>30</v>
      </c>
      <c r="N40" s="1">
        <v>0</v>
      </c>
      <c r="O40" s="1">
        <v>43875.665439814817</v>
      </c>
      <c r="P40" s="1">
        <v>2945463</v>
      </c>
      <c r="Q40" s="1">
        <v>3007702</v>
      </c>
      <c r="R40" s="1">
        <v>1883998</v>
      </c>
      <c r="S40" s="1">
        <v>2118280</v>
      </c>
      <c r="T40" s="1">
        <v>1061465</v>
      </c>
      <c r="U40" s="1">
        <v>889422</v>
      </c>
      <c r="V40" s="1"/>
      <c r="W40" s="1"/>
      <c r="X40" s="1"/>
      <c r="Y40" s="1"/>
      <c r="Z40" s="1"/>
      <c r="AA40" s="1"/>
      <c r="AB40" s="1">
        <v>34092</v>
      </c>
      <c r="AC40" s="1">
        <v>34092</v>
      </c>
      <c r="AD40" s="1">
        <v>3516</v>
      </c>
      <c r="AE40" s="1">
        <v>3516</v>
      </c>
      <c r="AF40" s="1">
        <v>30576</v>
      </c>
      <c r="AG40" s="1">
        <v>30576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>
        <v>755</v>
      </c>
      <c r="AU40" s="1">
        <v>1000</v>
      </c>
      <c r="AV40" s="2">
        <v>1096312</v>
      </c>
      <c r="AW40" s="1">
        <v>924514</v>
      </c>
      <c r="AX40" s="1">
        <v>4379258</v>
      </c>
      <c r="AY40" s="1">
        <v>5648590</v>
      </c>
      <c r="AZ40" s="1">
        <v>2197520</v>
      </c>
      <c r="BA40" s="1">
        <v>1888836</v>
      </c>
      <c r="BB40" s="1"/>
      <c r="BC40" s="1"/>
      <c r="BD40" s="1">
        <v>2181738</v>
      </c>
      <c r="BE40" s="1">
        <v>3759754</v>
      </c>
      <c r="BF40" s="1"/>
      <c r="BG40" s="1"/>
      <c r="BH40" s="1">
        <v>8123</v>
      </c>
      <c r="BI40" s="1">
        <v>9722</v>
      </c>
      <c r="BJ40" s="1"/>
      <c r="BK40" s="1"/>
      <c r="BL40" s="1">
        <v>765522</v>
      </c>
      <c r="BM40" s="1">
        <v>389597</v>
      </c>
      <c r="BN40" s="1"/>
      <c r="BO40" s="1"/>
      <c r="BP40" s="1">
        <v>193967</v>
      </c>
      <c r="BQ40" s="1">
        <v>354</v>
      </c>
      <c r="BR40" s="1"/>
      <c r="BS40" s="1"/>
      <c r="BT40" s="1"/>
      <c r="BU40" s="1"/>
      <c r="BV40" s="1">
        <v>19064</v>
      </c>
      <c r="BW40" s="1"/>
      <c r="BX40" s="1">
        <v>413357</v>
      </c>
      <c r="BY40" s="1">
        <v>171624</v>
      </c>
      <c r="BZ40" s="1">
        <v>6133</v>
      </c>
      <c r="CA40" s="1">
        <v>45629</v>
      </c>
      <c r="CB40" s="1"/>
      <c r="CC40" s="1">
        <v>943</v>
      </c>
      <c r="CD40" s="1"/>
      <c r="CE40" s="1"/>
      <c r="CF40" s="1">
        <v>3623</v>
      </c>
      <c r="CG40" s="1">
        <v>927</v>
      </c>
      <c r="CH40" s="1">
        <v>129378</v>
      </c>
      <c r="CI40" s="1">
        <v>170120</v>
      </c>
      <c r="CJ40" s="1">
        <v>199906</v>
      </c>
      <c r="CK40" s="1">
        <v>7697</v>
      </c>
      <c r="CL40" s="1"/>
      <c r="CM40" s="1"/>
      <c r="CN40" s="1">
        <v>192306</v>
      </c>
      <c r="CO40" s="1">
        <v>61</v>
      </c>
      <c r="CP40" s="1">
        <v>6697</v>
      </c>
      <c r="CQ40" s="1">
        <v>7636</v>
      </c>
      <c r="CR40" s="1">
        <v>903</v>
      </c>
      <c r="CS40" s="1"/>
      <c r="CT40" s="1"/>
      <c r="CU40" s="1"/>
      <c r="CV40" s="1"/>
      <c r="CW40" s="1"/>
      <c r="CX40" s="2">
        <v>5352809</v>
      </c>
      <c r="CY40" s="1">
        <v>6055606</v>
      </c>
      <c r="CZ40" s="1">
        <v>6449121</v>
      </c>
      <c r="DA40" s="1">
        <v>6980120</v>
      </c>
      <c r="DB40" s="1">
        <v>941427</v>
      </c>
      <c r="DC40" s="1">
        <v>941427</v>
      </c>
      <c r="DD40" s="1">
        <v>16351</v>
      </c>
      <c r="DE40" s="1">
        <v>16351</v>
      </c>
      <c r="DF40" s="1">
        <v>693588</v>
      </c>
      <c r="DG40" s="1">
        <v>741917</v>
      </c>
      <c r="DH40" s="1">
        <v>4850</v>
      </c>
      <c r="DI40" s="1">
        <v>225</v>
      </c>
      <c r="DJ40" s="1">
        <v>3427670</v>
      </c>
      <c r="DK40" s="1">
        <v>4006571</v>
      </c>
      <c r="DL40" s="24">
        <v>135</v>
      </c>
      <c r="DM40" s="24">
        <v>135</v>
      </c>
      <c r="DN40" s="1"/>
      <c r="DO40" s="1"/>
      <c r="DP40" s="2">
        <v>5074321</v>
      </c>
      <c r="DQ40" s="1">
        <v>5706176</v>
      </c>
      <c r="DR40" s="2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2">
        <v>1374800</v>
      </c>
      <c r="EQ40" s="1">
        <v>1273944</v>
      </c>
      <c r="ER40" s="1">
        <v>1366800</v>
      </c>
      <c r="ES40" s="1">
        <v>1273944</v>
      </c>
      <c r="ET40" s="1"/>
      <c r="EU40" s="1"/>
      <c r="EV40" s="1">
        <v>83619</v>
      </c>
      <c r="EW40" s="1">
        <v>500509</v>
      </c>
      <c r="EX40" s="1"/>
      <c r="EY40" s="1"/>
      <c r="EZ40" s="1"/>
      <c r="FA40" s="1"/>
      <c r="FB40" s="1">
        <v>8000</v>
      </c>
      <c r="FC40" s="1"/>
      <c r="FD40" s="1"/>
      <c r="FE40" s="1"/>
      <c r="FF40" s="1"/>
      <c r="FG40" s="1"/>
      <c r="FH40" s="1">
        <v>185446</v>
      </c>
      <c r="FI40" s="1">
        <v>99236</v>
      </c>
      <c r="FJ40" s="1">
        <v>532015</v>
      </c>
      <c r="FK40" s="1">
        <v>78928</v>
      </c>
      <c r="FL40" s="1"/>
      <c r="FM40" s="1"/>
      <c r="FN40" s="1">
        <v>227989</v>
      </c>
      <c r="FO40" s="1">
        <v>112249</v>
      </c>
      <c r="FP40" s="1"/>
      <c r="FQ40" s="1"/>
      <c r="FR40" s="1">
        <v>242491</v>
      </c>
      <c r="FS40" s="1">
        <v>306032</v>
      </c>
      <c r="FT40" s="1"/>
      <c r="FU40" s="1"/>
      <c r="FV40" s="1"/>
      <c r="FW40" s="1"/>
      <c r="FX40" s="1"/>
      <c r="FY40" s="1"/>
      <c r="FZ40" s="1">
        <v>95240</v>
      </c>
      <c r="GA40" s="1">
        <v>176990</v>
      </c>
      <c r="GB40" s="1">
        <v>1374800</v>
      </c>
      <c r="GC40" s="1">
        <v>1273944</v>
      </c>
      <c r="GD40" s="1">
        <v>6449121</v>
      </c>
      <c r="GE40" s="1">
        <v>6980120</v>
      </c>
    </row>
    <row r="41" spans="1:187" s="3" customFormat="1" x14ac:dyDescent="0.25">
      <c r="A41" s="1">
        <v>20006</v>
      </c>
      <c r="B41" s="1">
        <v>0</v>
      </c>
      <c r="C41" s="3">
        <v>200049541</v>
      </c>
      <c r="D41" s="3" t="s">
        <v>126</v>
      </c>
      <c r="E41" s="4">
        <v>14</v>
      </c>
      <c r="F41" s="4">
        <v>1</v>
      </c>
      <c r="G41" s="4">
        <v>0</v>
      </c>
      <c r="H41" s="4">
        <v>1</v>
      </c>
      <c r="I41" s="1">
        <v>2018</v>
      </c>
      <c r="J41" s="1">
        <v>4</v>
      </c>
      <c r="K41" s="3" t="s">
        <v>0</v>
      </c>
      <c r="L41" s="1">
        <v>2</v>
      </c>
      <c r="M41" s="1">
        <v>30</v>
      </c>
      <c r="N41" s="5">
        <v>0</v>
      </c>
      <c r="O41" s="6">
        <v>43616.423125000001</v>
      </c>
      <c r="P41" s="1">
        <v>2559684</v>
      </c>
      <c r="Q41" s="1">
        <v>2840948</v>
      </c>
      <c r="R41" s="1">
        <v>1645954</v>
      </c>
      <c r="S41" s="1">
        <v>1831783</v>
      </c>
      <c r="T41" s="1">
        <v>913730</v>
      </c>
      <c r="U41" s="1">
        <v>1009165</v>
      </c>
      <c r="V41" s="1"/>
      <c r="W41" s="1"/>
      <c r="X41" s="1"/>
      <c r="Y41" s="1"/>
      <c r="Z41" s="1"/>
      <c r="AA41" s="1"/>
      <c r="AB41" s="1">
        <v>34092</v>
      </c>
      <c r="AC41" s="1">
        <v>34092</v>
      </c>
      <c r="AD41" s="1">
        <v>3516</v>
      </c>
      <c r="AE41" s="1">
        <v>3516</v>
      </c>
      <c r="AF41" s="1">
        <v>30576</v>
      </c>
      <c r="AG41" s="1">
        <v>30576</v>
      </c>
      <c r="AH41" s="1"/>
      <c r="AI41" s="1"/>
      <c r="AJ41" s="1"/>
      <c r="AK41" s="1"/>
      <c r="AL41" s="1"/>
      <c r="AM41" s="1"/>
      <c r="AN41" s="1">
        <v>207847</v>
      </c>
      <c r="AO41" s="1"/>
      <c r="AP41" s="1"/>
      <c r="AQ41" s="1"/>
      <c r="AR41" s="1"/>
      <c r="AS41" s="1"/>
      <c r="AT41" s="1">
        <v>2595</v>
      </c>
      <c r="AU41" s="1">
        <v>755</v>
      </c>
      <c r="AV41" s="2">
        <v>1158264</v>
      </c>
      <c r="AW41" s="1">
        <v>1044012</v>
      </c>
      <c r="AX41" s="1">
        <v>3321307</v>
      </c>
      <c r="AY41" s="1">
        <v>4379258</v>
      </c>
      <c r="AZ41" s="1">
        <v>1703876</v>
      </c>
      <c r="BA41" s="1">
        <v>2197520</v>
      </c>
      <c r="BB41" s="1"/>
      <c r="BC41" s="1"/>
      <c r="BD41" s="1">
        <v>1617431</v>
      </c>
      <c r="BE41" s="1">
        <v>2181738</v>
      </c>
      <c r="BF41" s="1"/>
      <c r="BG41" s="1"/>
      <c r="BH41" s="1">
        <v>12787</v>
      </c>
      <c r="BI41" s="1">
        <v>8123</v>
      </c>
      <c r="BJ41" s="1"/>
      <c r="BK41" s="1"/>
      <c r="BL41" s="1">
        <v>651662</v>
      </c>
      <c r="BM41" s="1">
        <v>765521</v>
      </c>
      <c r="BN41" s="1"/>
      <c r="BO41" s="1"/>
      <c r="BP41" s="1">
        <v>467997</v>
      </c>
      <c r="BQ41" s="1">
        <v>193967</v>
      </c>
      <c r="BR41" s="1"/>
      <c r="BS41" s="1"/>
      <c r="BT41" s="1"/>
      <c r="BU41" s="1"/>
      <c r="BV41" s="1">
        <v>3251</v>
      </c>
      <c r="BW41" s="1">
        <v>19063</v>
      </c>
      <c r="BX41" s="1">
        <v>161412</v>
      </c>
      <c r="BY41" s="1">
        <v>413357</v>
      </c>
      <c r="BZ41" s="1">
        <v>44</v>
      </c>
      <c r="CA41" s="1">
        <v>6133</v>
      </c>
      <c r="CB41" s="1"/>
      <c r="CC41" s="1"/>
      <c r="CD41" s="1"/>
      <c r="CE41" s="1"/>
      <c r="CF41" s="1">
        <v>115</v>
      </c>
      <c r="CG41" s="1">
        <v>3623</v>
      </c>
      <c r="CH41" s="1">
        <v>18843</v>
      </c>
      <c r="CI41" s="1">
        <v>129378</v>
      </c>
      <c r="CJ41" s="1">
        <v>44646</v>
      </c>
      <c r="CK41" s="1">
        <v>199906</v>
      </c>
      <c r="CL41" s="1"/>
      <c r="CM41" s="1"/>
      <c r="CN41" s="1">
        <v>19798</v>
      </c>
      <c r="CO41" s="1">
        <v>192306</v>
      </c>
      <c r="CP41" s="1">
        <v>24848</v>
      </c>
      <c r="CQ41" s="1">
        <v>6697</v>
      </c>
      <c r="CR41" s="1"/>
      <c r="CS41" s="1">
        <v>903</v>
      </c>
      <c r="CT41" s="1"/>
      <c r="CU41" s="1"/>
      <c r="CV41" s="1"/>
      <c r="CW41" s="1"/>
      <c r="CX41" s="2">
        <v>4030402</v>
      </c>
      <c r="CY41" s="1">
        <v>5352808</v>
      </c>
      <c r="CZ41" s="1">
        <v>5188666</v>
      </c>
      <c r="DA41" s="1">
        <v>6396820</v>
      </c>
      <c r="DB41" s="1">
        <v>941427</v>
      </c>
      <c r="DC41" s="1">
        <v>941427</v>
      </c>
      <c r="DD41" s="1">
        <v>16351</v>
      </c>
      <c r="DE41" s="1">
        <v>16351</v>
      </c>
      <c r="DF41" s="1">
        <v>595402</v>
      </c>
      <c r="DG41" s="1">
        <v>641287</v>
      </c>
      <c r="DH41" s="1">
        <v>2132</v>
      </c>
      <c r="DI41" s="1">
        <v>4850</v>
      </c>
      <c r="DJ41" s="1">
        <v>2396618</v>
      </c>
      <c r="DK41" s="1">
        <v>3427670</v>
      </c>
      <c r="DL41" s="24">
        <v>135</v>
      </c>
      <c r="DM41" s="24">
        <v>135</v>
      </c>
      <c r="DN41" s="1"/>
      <c r="DO41" s="1"/>
      <c r="DP41" s="2">
        <v>3947801</v>
      </c>
      <c r="DQ41" s="1">
        <v>5022020</v>
      </c>
      <c r="DR41" s="2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2">
        <v>1240865</v>
      </c>
      <c r="EQ41" s="1">
        <v>1374800</v>
      </c>
      <c r="ER41" s="1">
        <v>1232865</v>
      </c>
      <c r="ES41" s="1">
        <v>1366800</v>
      </c>
      <c r="ET41" s="1"/>
      <c r="EU41" s="1"/>
      <c r="EV41" s="1">
        <v>14752</v>
      </c>
      <c r="EW41" s="1">
        <v>83619</v>
      </c>
      <c r="EX41" s="1"/>
      <c r="EY41" s="1"/>
      <c r="EZ41" s="1"/>
      <c r="FA41" s="1"/>
      <c r="FB41" s="1">
        <v>8000</v>
      </c>
      <c r="FC41" s="1">
        <v>8000</v>
      </c>
      <c r="FD41" s="1"/>
      <c r="FE41" s="1"/>
      <c r="FF41" s="1"/>
      <c r="FG41" s="1"/>
      <c r="FH41" s="1">
        <v>341724</v>
      </c>
      <c r="FI41" s="1">
        <v>185446</v>
      </c>
      <c r="FJ41" s="1">
        <v>284391</v>
      </c>
      <c r="FK41" s="1">
        <v>532015</v>
      </c>
      <c r="FL41" s="1"/>
      <c r="FM41" s="1"/>
      <c r="FN41" s="1">
        <v>200202</v>
      </c>
      <c r="FO41" s="1">
        <v>227989</v>
      </c>
      <c r="FP41" s="1"/>
      <c r="FQ41" s="1"/>
      <c r="FR41" s="1">
        <v>276021</v>
      </c>
      <c r="FS41" s="1">
        <v>242491</v>
      </c>
      <c r="FT41" s="1"/>
      <c r="FU41" s="1"/>
      <c r="FV41" s="1"/>
      <c r="FW41" s="1"/>
      <c r="FX41" s="1"/>
      <c r="FY41" s="1"/>
      <c r="FZ41" s="1">
        <v>115775</v>
      </c>
      <c r="GA41" s="1">
        <v>95240</v>
      </c>
      <c r="GB41" s="1">
        <v>1240865</v>
      </c>
      <c r="GC41" s="1">
        <v>1374800</v>
      </c>
      <c r="GD41" s="1">
        <v>5188666</v>
      </c>
      <c r="GE41" s="1">
        <v>6396820</v>
      </c>
    </row>
    <row r="42" spans="1:187" s="3" customFormat="1" ht="12" x14ac:dyDescent="0.2">
      <c r="A42" s="1">
        <v>20006</v>
      </c>
      <c r="B42" s="1">
        <v>0</v>
      </c>
      <c r="C42" s="1">
        <v>200340624</v>
      </c>
      <c r="D42" s="1" t="s">
        <v>127</v>
      </c>
      <c r="E42" s="1">
        <v>8</v>
      </c>
      <c r="F42" s="1">
        <v>11</v>
      </c>
      <c r="G42" s="1">
        <v>0</v>
      </c>
      <c r="H42" s="1">
        <v>1</v>
      </c>
      <c r="I42" s="1">
        <v>2021</v>
      </c>
      <c r="J42" s="1">
        <v>4</v>
      </c>
      <c r="K42" s="1" t="s">
        <v>0</v>
      </c>
      <c r="L42" s="1">
        <v>1</v>
      </c>
      <c r="M42" s="1">
        <v>30</v>
      </c>
      <c r="N42" s="1">
        <v>0</v>
      </c>
      <c r="O42" s="1">
        <v>44608.43482638889</v>
      </c>
      <c r="P42" s="1">
        <v>9221637.9399999995</v>
      </c>
      <c r="Q42" s="1">
        <v>15139824</v>
      </c>
      <c r="R42" s="1">
        <v>5149905.21</v>
      </c>
      <c r="S42" s="1">
        <v>5763121</v>
      </c>
      <c r="T42" s="1">
        <v>4071732.73</v>
      </c>
      <c r="U42" s="1">
        <v>9376703</v>
      </c>
      <c r="V42" s="1"/>
      <c r="W42" s="1">
        <v>2009</v>
      </c>
      <c r="X42" s="1"/>
      <c r="Y42" s="1">
        <v>16</v>
      </c>
      <c r="Z42" s="1"/>
      <c r="AA42" s="1">
        <v>1993</v>
      </c>
      <c r="AB42" s="1">
        <v>19173</v>
      </c>
      <c r="AC42" s="1">
        <v>19173</v>
      </c>
      <c r="AD42" s="1">
        <v>19173</v>
      </c>
      <c r="AE42" s="1">
        <v>19173</v>
      </c>
      <c r="AF42" s="1"/>
      <c r="AG42" s="1"/>
      <c r="AH42" s="1"/>
      <c r="AI42" s="1"/>
      <c r="AJ42" s="1"/>
      <c r="AK42" s="1"/>
      <c r="AL42" s="1"/>
      <c r="AM42" s="1"/>
      <c r="AN42" s="1">
        <v>8497968.4700000007</v>
      </c>
      <c r="AO42" s="1">
        <v>8542723</v>
      </c>
      <c r="AP42" s="1">
        <v>36060.400000000001</v>
      </c>
      <c r="AQ42" s="1"/>
      <c r="AR42" s="1"/>
      <c r="AS42" s="1"/>
      <c r="AT42" s="1"/>
      <c r="AU42" s="1">
        <v>1126523</v>
      </c>
      <c r="AV42" s="2">
        <v>12624934.6</v>
      </c>
      <c r="AW42" s="1">
        <v>19067115</v>
      </c>
      <c r="AX42" s="1">
        <v>4130076.09</v>
      </c>
      <c r="AY42" s="1">
        <v>8183484</v>
      </c>
      <c r="AZ42" s="1">
        <v>1542807.72</v>
      </c>
      <c r="BA42" s="1">
        <v>2660160</v>
      </c>
      <c r="BB42" s="1">
        <v>2524894.25</v>
      </c>
      <c r="BC42" s="1">
        <v>5096754</v>
      </c>
      <c r="BD42" s="1">
        <v>62374.12</v>
      </c>
      <c r="BE42" s="1">
        <v>426570</v>
      </c>
      <c r="BF42" s="1">
        <v>0</v>
      </c>
      <c r="BG42" s="1"/>
      <c r="BH42" s="1">
        <v>199802.94</v>
      </c>
      <c r="BI42" s="1">
        <v>135795</v>
      </c>
      <c r="BJ42" s="1"/>
      <c r="BK42" s="1"/>
      <c r="BL42" s="1">
        <v>27461926.989999998</v>
      </c>
      <c r="BM42" s="1">
        <v>29924771</v>
      </c>
      <c r="BN42" s="1"/>
      <c r="BO42" s="1"/>
      <c r="BP42" s="1">
        <v>9989481.9299999997</v>
      </c>
      <c r="BQ42" s="1">
        <v>9930271</v>
      </c>
      <c r="BR42" s="1"/>
      <c r="BS42" s="1"/>
      <c r="BT42" s="1"/>
      <c r="BU42" s="1"/>
      <c r="BV42" s="1">
        <v>2495.4699999999998</v>
      </c>
      <c r="BW42" s="1">
        <v>2491</v>
      </c>
      <c r="BX42" s="1">
        <v>16306105.859999999</v>
      </c>
      <c r="BY42" s="1">
        <v>18579639</v>
      </c>
      <c r="BZ42" s="1">
        <v>1069887.6100000001</v>
      </c>
      <c r="CA42" s="1">
        <v>1250489</v>
      </c>
      <c r="CB42" s="1">
        <v>73077.119999999995</v>
      </c>
      <c r="CC42" s="1">
        <v>131</v>
      </c>
      <c r="CD42" s="1"/>
      <c r="CE42" s="1"/>
      <c r="CF42" s="1">
        <v>20576.46</v>
      </c>
      <c r="CG42" s="1"/>
      <c r="CH42" s="1">
        <v>302.54000000000002</v>
      </c>
      <c r="CI42" s="1">
        <v>161750</v>
      </c>
      <c r="CJ42" s="1">
        <v>147181.85</v>
      </c>
      <c r="CK42" s="1">
        <v>691162</v>
      </c>
      <c r="CL42" s="1"/>
      <c r="CM42" s="1"/>
      <c r="CN42" s="1">
        <v>147181.85</v>
      </c>
      <c r="CO42" s="1">
        <v>254377</v>
      </c>
      <c r="CP42" s="1"/>
      <c r="CQ42" s="1">
        <v>436785</v>
      </c>
      <c r="CR42" s="1"/>
      <c r="CS42" s="1"/>
      <c r="CT42" s="1">
        <v>67644.820000000007</v>
      </c>
      <c r="CU42" s="1">
        <v>2900</v>
      </c>
      <c r="CV42" s="1"/>
      <c r="CW42" s="1"/>
      <c r="CX42" s="2">
        <v>32006632.690000001</v>
      </c>
      <c r="CY42" s="1">
        <v>38938112</v>
      </c>
      <c r="CZ42" s="1">
        <v>44631567.289999999</v>
      </c>
      <c r="DA42" s="1">
        <v>58005227</v>
      </c>
      <c r="DB42" s="1">
        <v>6279423.5499999998</v>
      </c>
      <c r="DC42" s="1">
        <v>6279423</v>
      </c>
      <c r="DD42" s="1">
        <v>16218540</v>
      </c>
      <c r="DE42" s="1">
        <v>16218540</v>
      </c>
      <c r="DF42" s="1">
        <v>1161293.56</v>
      </c>
      <c r="DG42" s="1">
        <v>1575004</v>
      </c>
      <c r="DH42" s="1"/>
      <c r="DI42" s="1"/>
      <c r="DJ42" s="1">
        <v>11157919.609999999</v>
      </c>
      <c r="DK42" s="1">
        <v>16372559</v>
      </c>
      <c r="DL42" s="24">
        <v>241721.2</v>
      </c>
      <c r="DM42" s="24">
        <v>241721</v>
      </c>
      <c r="DN42" s="1"/>
      <c r="DO42" s="1"/>
      <c r="DP42" s="2">
        <v>35058897.920000002</v>
      </c>
      <c r="DQ42" s="1">
        <v>40687247</v>
      </c>
      <c r="DR42" s="2">
        <v>2629706.92</v>
      </c>
      <c r="DS42" s="1">
        <v>9983743</v>
      </c>
      <c r="DT42" s="1"/>
      <c r="DU42" s="1">
        <v>8351635</v>
      </c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>
        <v>2629706.92</v>
      </c>
      <c r="EK42" s="1">
        <v>1632108</v>
      </c>
      <c r="EL42" s="1"/>
      <c r="EM42" s="1"/>
      <c r="EN42" s="1"/>
      <c r="EO42" s="1">
        <v>8351635</v>
      </c>
      <c r="EP42" s="2">
        <v>6942962.4500000002</v>
      </c>
      <c r="EQ42" s="1">
        <v>7334237</v>
      </c>
      <c r="ER42" s="1">
        <v>6818165.6900000004</v>
      </c>
      <c r="ES42" s="1">
        <v>5937250</v>
      </c>
      <c r="ET42" s="1"/>
      <c r="EU42" s="1"/>
      <c r="EV42" s="1">
        <v>2964386.43</v>
      </c>
      <c r="EW42" s="1">
        <v>3160259</v>
      </c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>
        <v>1287955.21</v>
      </c>
      <c r="FI42" s="1">
        <v>1316991</v>
      </c>
      <c r="FJ42" s="1">
        <v>673513.84</v>
      </c>
      <c r="FK42" s="1">
        <v>577776</v>
      </c>
      <c r="FL42" s="1"/>
      <c r="FM42" s="1"/>
      <c r="FN42" s="1">
        <v>212238.89</v>
      </c>
      <c r="FO42" s="1">
        <v>90490</v>
      </c>
      <c r="FP42" s="1"/>
      <c r="FQ42" s="1"/>
      <c r="FR42" s="1">
        <v>487058.85</v>
      </c>
      <c r="FS42" s="1">
        <v>712962</v>
      </c>
      <c r="FT42" s="1"/>
      <c r="FU42" s="1">
        <v>1083766</v>
      </c>
      <c r="FV42" s="1">
        <v>37647.620000000003</v>
      </c>
      <c r="FW42" s="1"/>
      <c r="FX42" s="1">
        <v>87149.14</v>
      </c>
      <c r="FY42" s="1">
        <v>313221</v>
      </c>
      <c r="FZ42" s="1">
        <v>1193012.47</v>
      </c>
      <c r="GA42" s="1">
        <v>78772</v>
      </c>
      <c r="GB42" s="1">
        <v>9572669.3699999992</v>
      </c>
      <c r="GC42" s="1">
        <v>17317980</v>
      </c>
      <c r="GD42" s="1">
        <v>44631567.289999999</v>
      </c>
      <c r="GE42" s="1">
        <v>58005227</v>
      </c>
    </row>
    <row r="43" spans="1:187" s="3" customFormat="1" ht="12" x14ac:dyDescent="0.2">
      <c r="A43" s="1">
        <v>20006</v>
      </c>
      <c r="B43" s="1">
        <v>0</v>
      </c>
      <c r="C43" s="1">
        <v>200340624</v>
      </c>
      <c r="D43" s="1" t="s">
        <v>127</v>
      </c>
      <c r="E43" s="1">
        <v>8</v>
      </c>
      <c r="F43" s="1">
        <v>11</v>
      </c>
      <c r="G43" s="1">
        <v>0</v>
      </c>
      <c r="H43" s="1">
        <v>1</v>
      </c>
      <c r="I43" s="1">
        <v>2020</v>
      </c>
      <c r="J43" s="1">
        <v>4</v>
      </c>
      <c r="K43" s="1" t="s">
        <v>0</v>
      </c>
      <c r="L43" s="1">
        <v>2</v>
      </c>
      <c r="M43" s="1">
        <v>30</v>
      </c>
      <c r="N43" s="1">
        <v>0</v>
      </c>
      <c r="O43" s="1">
        <v>44245.696828703702</v>
      </c>
      <c r="P43" s="1">
        <v>6551344</v>
      </c>
      <c r="Q43" s="1">
        <v>9221637.9399999995</v>
      </c>
      <c r="R43" s="1">
        <v>4864081</v>
      </c>
      <c r="S43" s="1">
        <v>5149905.21</v>
      </c>
      <c r="T43" s="1">
        <v>1687263</v>
      </c>
      <c r="U43" s="1">
        <v>4071732.73</v>
      </c>
      <c r="V43" s="1"/>
      <c r="W43" s="1"/>
      <c r="X43" s="1"/>
      <c r="Y43" s="1"/>
      <c r="Z43" s="1"/>
      <c r="AA43" s="1"/>
      <c r="AB43" s="1">
        <v>19173</v>
      </c>
      <c r="AC43" s="1">
        <v>19173</v>
      </c>
      <c r="AD43" s="1">
        <v>19173</v>
      </c>
      <c r="AE43" s="1">
        <v>19173</v>
      </c>
      <c r="AF43" s="1"/>
      <c r="AG43" s="1"/>
      <c r="AH43" s="1"/>
      <c r="AI43" s="1"/>
      <c r="AJ43" s="1"/>
      <c r="AK43" s="1"/>
      <c r="AL43" s="1"/>
      <c r="AM43" s="1"/>
      <c r="AN43" s="1"/>
      <c r="AO43" s="1">
        <v>8497968.4700000007</v>
      </c>
      <c r="AP43" s="1">
        <v>8497968</v>
      </c>
      <c r="AQ43" s="1">
        <v>36060.400000000001</v>
      </c>
      <c r="AR43" s="1"/>
      <c r="AS43" s="1"/>
      <c r="AT43" s="1"/>
      <c r="AU43" s="1"/>
      <c r="AV43" s="2">
        <v>10204404</v>
      </c>
      <c r="AW43" s="1">
        <v>12624934.6</v>
      </c>
      <c r="AX43" s="1">
        <v>877354</v>
      </c>
      <c r="AY43" s="1">
        <v>4130076.09</v>
      </c>
      <c r="AZ43" s="1">
        <v>550723</v>
      </c>
      <c r="BA43" s="1">
        <v>1542807.72</v>
      </c>
      <c r="BB43" s="1">
        <v>323592</v>
      </c>
      <c r="BC43" s="1">
        <v>2524894.25</v>
      </c>
      <c r="BD43" s="1">
        <v>3039</v>
      </c>
      <c r="BE43" s="1">
        <v>62374.12</v>
      </c>
      <c r="BF43" s="1">
        <v>0</v>
      </c>
      <c r="BG43" s="1">
        <v>0</v>
      </c>
      <c r="BH43" s="1">
        <v>581137</v>
      </c>
      <c r="BI43" s="1">
        <v>199802.94</v>
      </c>
      <c r="BJ43" s="1"/>
      <c r="BK43" s="1"/>
      <c r="BL43" s="1">
        <v>22536437</v>
      </c>
      <c r="BM43" s="1">
        <v>27461926.989999998</v>
      </c>
      <c r="BN43" s="1"/>
      <c r="BO43" s="1"/>
      <c r="BP43" s="1">
        <v>6008448</v>
      </c>
      <c r="BQ43" s="1">
        <v>9989481.9299999997</v>
      </c>
      <c r="BR43" s="1"/>
      <c r="BS43" s="1"/>
      <c r="BT43" s="1"/>
      <c r="BU43" s="1"/>
      <c r="BV43" s="1"/>
      <c r="BW43" s="1">
        <v>2495.4699999999998</v>
      </c>
      <c r="BX43" s="1">
        <v>16475585</v>
      </c>
      <c r="BY43" s="1">
        <v>16306105.859999999</v>
      </c>
      <c r="BZ43" s="1">
        <v>35337</v>
      </c>
      <c r="CA43" s="1">
        <v>1069887.6100000001</v>
      </c>
      <c r="CB43" s="1">
        <v>247</v>
      </c>
      <c r="CC43" s="1">
        <v>73077.119999999995</v>
      </c>
      <c r="CD43" s="1"/>
      <c r="CE43" s="1"/>
      <c r="CF43" s="1">
        <v>14489</v>
      </c>
      <c r="CG43" s="1">
        <v>20576.46</v>
      </c>
      <c r="CH43" s="1">
        <v>2331</v>
      </c>
      <c r="CI43" s="1">
        <v>302.54000000000002</v>
      </c>
      <c r="CJ43" s="1">
        <v>85</v>
      </c>
      <c r="CK43" s="1">
        <v>147181.85</v>
      </c>
      <c r="CL43" s="1"/>
      <c r="CM43" s="1"/>
      <c r="CN43" s="1"/>
      <c r="CO43" s="1">
        <v>147181.85</v>
      </c>
      <c r="CP43" s="1"/>
      <c r="CQ43" s="1"/>
      <c r="CR43" s="1">
        <v>85</v>
      </c>
      <c r="CS43" s="1"/>
      <c r="CT43" s="1">
        <v>72119</v>
      </c>
      <c r="CU43" s="1">
        <v>67644.820000000007</v>
      </c>
      <c r="CV43" s="1"/>
      <c r="CW43" s="1"/>
      <c r="CX43" s="2">
        <v>24067132</v>
      </c>
      <c r="CY43" s="1">
        <v>32006632.690000001</v>
      </c>
      <c r="CZ43" s="1">
        <v>34271536</v>
      </c>
      <c r="DA43" s="1">
        <v>44631567.289999999</v>
      </c>
      <c r="DB43" s="1">
        <v>6279424</v>
      </c>
      <c r="DC43" s="1">
        <v>6279423.5499999998</v>
      </c>
      <c r="DD43" s="1">
        <v>16218540</v>
      </c>
      <c r="DE43" s="1">
        <v>16218540</v>
      </c>
      <c r="DF43" s="1">
        <v>1116500</v>
      </c>
      <c r="DG43" s="1">
        <v>1161293.56</v>
      </c>
      <c r="DH43" s="1"/>
      <c r="DI43" s="1"/>
      <c r="DJ43" s="1">
        <v>6961673</v>
      </c>
      <c r="DK43" s="1">
        <v>11157919.609999999</v>
      </c>
      <c r="DL43" s="24">
        <v>241721</v>
      </c>
      <c r="DM43" s="24">
        <v>241721.2</v>
      </c>
      <c r="DN43" s="1"/>
      <c r="DO43" s="1"/>
      <c r="DP43" s="2">
        <v>30817858</v>
      </c>
      <c r="DQ43" s="1">
        <v>35058897.920000002</v>
      </c>
      <c r="DR43" s="2"/>
      <c r="DS43" s="1">
        <v>2629706.92</v>
      </c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>
        <v>2629706.92</v>
      </c>
      <c r="EL43" s="1"/>
      <c r="EM43" s="1"/>
      <c r="EN43" s="1"/>
      <c r="EO43" s="1"/>
      <c r="EP43" s="2">
        <v>3453678</v>
      </c>
      <c r="EQ43" s="1">
        <v>6942962.4500000002</v>
      </c>
      <c r="ER43" s="1">
        <v>2934272</v>
      </c>
      <c r="ES43" s="1">
        <v>6818165.6900000004</v>
      </c>
      <c r="ET43" s="1"/>
      <c r="EU43" s="1"/>
      <c r="EV43" s="1">
        <v>1693564</v>
      </c>
      <c r="EW43" s="1">
        <v>2964386.43</v>
      </c>
      <c r="EX43" s="1">
        <v>0</v>
      </c>
      <c r="EY43" s="1"/>
      <c r="EZ43" s="1">
        <v>78044</v>
      </c>
      <c r="FA43" s="1"/>
      <c r="FB43" s="1"/>
      <c r="FC43" s="1"/>
      <c r="FD43" s="1"/>
      <c r="FE43" s="1"/>
      <c r="FF43" s="1"/>
      <c r="FG43" s="1"/>
      <c r="FH43" s="1">
        <v>71548</v>
      </c>
      <c r="FI43" s="1">
        <v>1287955.21</v>
      </c>
      <c r="FJ43" s="1">
        <v>661195</v>
      </c>
      <c r="FK43" s="1">
        <v>673513.84</v>
      </c>
      <c r="FL43" s="1"/>
      <c r="FM43" s="1"/>
      <c r="FN43" s="1">
        <v>113137</v>
      </c>
      <c r="FO43" s="1">
        <v>212238.89</v>
      </c>
      <c r="FP43" s="1"/>
      <c r="FQ43" s="1"/>
      <c r="FR43" s="1">
        <v>283003</v>
      </c>
      <c r="FS43" s="1">
        <v>487058.85</v>
      </c>
      <c r="FT43" s="1"/>
      <c r="FU43" s="1"/>
      <c r="FV43" s="1">
        <v>106073</v>
      </c>
      <c r="FW43" s="1">
        <v>37647.620000000003</v>
      </c>
      <c r="FX43" s="1">
        <v>413333</v>
      </c>
      <c r="FY43" s="1">
        <v>87149.14</v>
      </c>
      <c r="FZ43" s="1">
        <v>33781</v>
      </c>
      <c r="GA43" s="1">
        <v>1193012.47</v>
      </c>
      <c r="GB43" s="1">
        <v>3453678</v>
      </c>
      <c r="GC43" s="1">
        <v>9572669.3699999992</v>
      </c>
      <c r="GD43" s="1">
        <v>34271536</v>
      </c>
      <c r="GE43" s="1">
        <v>44631567.289999999</v>
      </c>
    </row>
    <row r="44" spans="1:187" s="3" customFormat="1" ht="12" x14ac:dyDescent="0.2">
      <c r="A44" s="1">
        <v>20006</v>
      </c>
      <c r="B44" s="1">
        <v>0</v>
      </c>
      <c r="C44" s="1">
        <v>200340624</v>
      </c>
      <c r="D44" s="1" t="s">
        <v>127</v>
      </c>
      <c r="E44" s="1">
        <v>8</v>
      </c>
      <c r="F44" s="1">
        <v>11</v>
      </c>
      <c r="G44" s="1">
        <v>0</v>
      </c>
      <c r="H44" s="1">
        <v>1</v>
      </c>
      <c r="I44" s="1">
        <v>2019</v>
      </c>
      <c r="J44" s="1">
        <v>4</v>
      </c>
      <c r="K44" s="1" t="s">
        <v>0</v>
      </c>
      <c r="L44" s="1">
        <v>1</v>
      </c>
      <c r="M44" s="1">
        <v>30</v>
      </c>
      <c r="N44" s="1">
        <v>0</v>
      </c>
      <c r="O44" s="1">
        <v>43875.5778587963</v>
      </c>
      <c r="P44" s="1">
        <v>5464121</v>
      </c>
      <c r="Q44" s="1">
        <v>6551344</v>
      </c>
      <c r="R44" s="1">
        <v>4430994</v>
      </c>
      <c r="S44" s="1">
        <v>4864081</v>
      </c>
      <c r="T44" s="1">
        <v>1033127</v>
      </c>
      <c r="U44" s="1">
        <v>1687263</v>
      </c>
      <c r="V44" s="1"/>
      <c r="W44" s="1"/>
      <c r="X44" s="1"/>
      <c r="Y44" s="1"/>
      <c r="Z44" s="1"/>
      <c r="AA44" s="1"/>
      <c r="AB44" s="1">
        <v>19173</v>
      </c>
      <c r="AC44" s="1">
        <v>19173</v>
      </c>
      <c r="AD44" s="1">
        <v>19173</v>
      </c>
      <c r="AE44" s="1">
        <v>19173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>
        <v>6665605</v>
      </c>
      <c r="AQ44" s="1">
        <v>8497968</v>
      </c>
      <c r="AR44" s="1"/>
      <c r="AS44" s="1"/>
      <c r="AT44" s="1"/>
      <c r="AU44" s="1"/>
      <c r="AV44" s="2">
        <v>7717905</v>
      </c>
      <c r="AW44" s="1">
        <v>10204404</v>
      </c>
      <c r="AX44" s="1">
        <v>1139518</v>
      </c>
      <c r="AY44" s="1">
        <v>877354</v>
      </c>
      <c r="AZ44" s="1">
        <v>529986</v>
      </c>
      <c r="BA44" s="1">
        <v>550723</v>
      </c>
      <c r="BB44" s="1">
        <v>606493</v>
      </c>
      <c r="BC44" s="1">
        <v>323592</v>
      </c>
      <c r="BD44" s="1">
        <v>3039</v>
      </c>
      <c r="BE44" s="1">
        <v>3039</v>
      </c>
      <c r="BF44" s="1">
        <v>0</v>
      </c>
      <c r="BG44" s="1">
        <v>0</v>
      </c>
      <c r="BH44" s="1">
        <v>537642</v>
      </c>
      <c r="BI44" s="1">
        <v>581137</v>
      </c>
      <c r="BJ44" s="1"/>
      <c r="BK44" s="1"/>
      <c r="BL44" s="1">
        <v>22431370</v>
      </c>
      <c r="BM44" s="1">
        <v>22536437</v>
      </c>
      <c r="BN44" s="1"/>
      <c r="BO44" s="1"/>
      <c r="BP44" s="1">
        <v>2136191</v>
      </c>
      <c r="BQ44" s="1">
        <v>6008448</v>
      </c>
      <c r="BR44" s="1"/>
      <c r="BS44" s="1"/>
      <c r="BT44" s="1"/>
      <c r="BU44" s="1"/>
      <c r="BV44" s="1"/>
      <c r="BW44" s="1"/>
      <c r="BX44" s="1">
        <v>20221210</v>
      </c>
      <c r="BY44" s="1">
        <v>16475585</v>
      </c>
      <c r="BZ44" s="1">
        <v>42463</v>
      </c>
      <c r="CA44" s="1">
        <v>35337</v>
      </c>
      <c r="CB44" s="1">
        <v>13243</v>
      </c>
      <c r="CC44" s="1">
        <v>247</v>
      </c>
      <c r="CD44" s="1"/>
      <c r="CE44" s="1"/>
      <c r="CF44" s="1">
        <v>17125</v>
      </c>
      <c r="CG44" s="1">
        <v>14489</v>
      </c>
      <c r="CH44" s="1">
        <v>1138</v>
      </c>
      <c r="CI44" s="1">
        <v>2331</v>
      </c>
      <c r="CJ44" s="1">
        <v>2405787</v>
      </c>
      <c r="CK44" s="1">
        <v>85</v>
      </c>
      <c r="CL44" s="1"/>
      <c r="CM44" s="1"/>
      <c r="CN44" s="1">
        <v>2405787</v>
      </c>
      <c r="CO44" s="1"/>
      <c r="CP44" s="1"/>
      <c r="CQ44" s="1"/>
      <c r="CR44" s="1"/>
      <c r="CS44" s="1">
        <v>85</v>
      </c>
      <c r="CT44" s="1">
        <v>72708</v>
      </c>
      <c r="CU44" s="1">
        <v>72119</v>
      </c>
      <c r="CV44" s="1"/>
      <c r="CW44" s="1"/>
      <c r="CX44" s="2">
        <v>26587025</v>
      </c>
      <c r="CY44" s="1">
        <v>24067132</v>
      </c>
      <c r="CZ44" s="1">
        <v>34304930</v>
      </c>
      <c r="DA44" s="1">
        <v>34271536</v>
      </c>
      <c r="DB44" s="1">
        <v>6279424</v>
      </c>
      <c r="DC44" s="1">
        <v>6279424</v>
      </c>
      <c r="DD44" s="1">
        <v>16218540</v>
      </c>
      <c r="DE44" s="1">
        <v>16218540</v>
      </c>
      <c r="DF44" s="1">
        <v>1077523</v>
      </c>
      <c r="DG44" s="1">
        <v>1116500</v>
      </c>
      <c r="DH44" s="1"/>
      <c r="DI44" s="1"/>
      <c r="DJ44" s="1">
        <v>6973539</v>
      </c>
      <c r="DK44" s="1">
        <v>6961673</v>
      </c>
      <c r="DL44" s="24">
        <v>241721</v>
      </c>
      <c r="DM44" s="24">
        <v>241721</v>
      </c>
      <c r="DN44" s="1"/>
      <c r="DO44" s="1"/>
      <c r="DP44" s="2">
        <v>30790747</v>
      </c>
      <c r="DQ44" s="1">
        <v>30817858</v>
      </c>
      <c r="DR44" s="2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2">
        <v>3514183</v>
      </c>
      <c r="EQ44" s="1">
        <v>3453678</v>
      </c>
      <c r="ER44" s="1">
        <v>2631524</v>
      </c>
      <c r="ES44" s="1">
        <v>2934272</v>
      </c>
      <c r="ET44" s="1"/>
      <c r="EU44" s="1"/>
      <c r="EV44" s="1">
        <v>1422057</v>
      </c>
      <c r="EW44" s="1">
        <v>1693564</v>
      </c>
      <c r="EX44" s="1">
        <v>0</v>
      </c>
      <c r="EY44" s="1">
        <v>0</v>
      </c>
      <c r="EZ44" s="1">
        <v>78044</v>
      </c>
      <c r="FA44" s="1">
        <v>78044</v>
      </c>
      <c r="FB44" s="1"/>
      <c r="FC44" s="1"/>
      <c r="FD44" s="1"/>
      <c r="FE44" s="1"/>
      <c r="FF44" s="1"/>
      <c r="FG44" s="1"/>
      <c r="FH44" s="1">
        <v>736802</v>
      </c>
      <c r="FI44" s="1">
        <v>71548</v>
      </c>
      <c r="FJ44" s="1">
        <v>113921</v>
      </c>
      <c r="FK44" s="1">
        <v>661195</v>
      </c>
      <c r="FL44" s="1"/>
      <c r="FM44" s="1"/>
      <c r="FN44" s="1">
        <v>176430</v>
      </c>
      <c r="FO44" s="1">
        <v>113137</v>
      </c>
      <c r="FP44" s="1"/>
      <c r="FQ44" s="1"/>
      <c r="FR44" s="1">
        <v>76303</v>
      </c>
      <c r="FS44" s="1">
        <v>283003</v>
      </c>
      <c r="FT44" s="1"/>
      <c r="FU44" s="1"/>
      <c r="FV44" s="1">
        <v>25800</v>
      </c>
      <c r="FW44" s="1">
        <v>106073</v>
      </c>
      <c r="FX44" s="1">
        <v>856859</v>
      </c>
      <c r="FY44" s="1">
        <v>413333</v>
      </c>
      <c r="FZ44" s="1">
        <v>27967</v>
      </c>
      <c r="GA44" s="1">
        <v>33781</v>
      </c>
      <c r="GB44" s="1">
        <v>3514183</v>
      </c>
      <c r="GC44" s="1">
        <v>3453678</v>
      </c>
      <c r="GD44" s="1">
        <v>34304930</v>
      </c>
      <c r="GE44" s="1">
        <v>34271536</v>
      </c>
    </row>
    <row r="45" spans="1:187" s="3" customFormat="1" x14ac:dyDescent="0.25">
      <c r="A45" s="1">
        <v>20006</v>
      </c>
      <c r="B45" s="1">
        <v>0</v>
      </c>
      <c r="C45" s="3">
        <v>200340624</v>
      </c>
      <c r="D45" s="3" t="s">
        <v>127</v>
      </c>
      <c r="E45" s="4">
        <v>8</v>
      </c>
      <c r="F45" s="4">
        <v>11</v>
      </c>
      <c r="G45" s="4">
        <v>0</v>
      </c>
      <c r="H45" s="4">
        <v>1</v>
      </c>
      <c r="I45" s="1">
        <v>2018</v>
      </c>
      <c r="J45" s="1">
        <v>4</v>
      </c>
      <c r="K45" s="3" t="s">
        <v>0</v>
      </c>
      <c r="L45" s="1">
        <v>3</v>
      </c>
      <c r="M45" s="1">
        <v>30</v>
      </c>
      <c r="N45" s="5">
        <v>0</v>
      </c>
      <c r="O45" s="6">
        <v>43776.633900462963</v>
      </c>
      <c r="P45" s="1">
        <v>5414904</v>
      </c>
      <c r="Q45" s="1">
        <v>5464121</v>
      </c>
      <c r="R45" s="1">
        <v>4214575</v>
      </c>
      <c r="S45" s="1">
        <v>4430994</v>
      </c>
      <c r="T45" s="1">
        <v>1200329</v>
      </c>
      <c r="U45" s="1">
        <v>1033127</v>
      </c>
      <c r="V45" s="1"/>
      <c r="W45" s="1"/>
      <c r="X45" s="1"/>
      <c r="Y45" s="1"/>
      <c r="Z45" s="1"/>
      <c r="AA45" s="1"/>
      <c r="AB45" s="1">
        <v>16724</v>
      </c>
      <c r="AC45" s="1">
        <v>19173</v>
      </c>
      <c r="AD45" s="1">
        <v>16724</v>
      </c>
      <c r="AE45" s="1">
        <v>19173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>
        <v>51856</v>
      </c>
      <c r="AQ45" s="1">
        <v>6640270</v>
      </c>
      <c r="AR45" s="1"/>
      <c r="AS45" s="1"/>
      <c r="AT45" s="1"/>
      <c r="AU45" s="1"/>
      <c r="AV45" s="2">
        <v>1268909</v>
      </c>
      <c r="AW45" s="1">
        <v>7692570</v>
      </c>
      <c r="AX45" s="1">
        <v>858143</v>
      </c>
      <c r="AY45" s="1">
        <v>1139518</v>
      </c>
      <c r="AZ45" s="1">
        <v>540896</v>
      </c>
      <c r="BA45" s="1">
        <v>529986</v>
      </c>
      <c r="BB45" s="1">
        <v>314208</v>
      </c>
      <c r="BC45" s="1">
        <v>606493</v>
      </c>
      <c r="BD45" s="1">
        <v>3039</v>
      </c>
      <c r="BE45" s="1">
        <v>3039</v>
      </c>
      <c r="BF45" s="1"/>
      <c r="BG45" s="1"/>
      <c r="BH45" s="1">
        <v>87596</v>
      </c>
      <c r="BI45" s="1">
        <v>537642</v>
      </c>
      <c r="BJ45" s="1"/>
      <c r="BK45" s="1"/>
      <c r="BL45" s="1">
        <v>10567319</v>
      </c>
      <c r="BM45" s="1">
        <v>22431369</v>
      </c>
      <c r="BN45" s="1"/>
      <c r="BO45" s="1"/>
      <c r="BP45" s="1">
        <v>4837238</v>
      </c>
      <c r="BQ45" s="1">
        <v>2136191</v>
      </c>
      <c r="BR45" s="1"/>
      <c r="BS45" s="1"/>
      <c r="BT45" s="1"/>
      <c r="BU45" s="1"/>
      <c r="BV45" s="1">
        <v>71</v>
      </c>
      <c r="BW45" s="1">
        <v>0</v>
      </c>
      <c r="BX45" s="1">
        <v>5681219</v>
      </c>
      <c r="BY45" s="1">
        <v>20221209</v>
      </c>
      <c r="BZ45" s="1">
        <v>27231</v>
      </c>
      <c r="CA45" s="1">
        <v>42463</v>
      </c>
      <c r="CB45" s="1">
        <v>233</v>
      </c>
      <c r="CC45" s="1">
        <v>13243</v>
      </c>
      <c r="CD45" s="1"/>
      <c r="CE45" s="1"/>
      <c r="CF45" s="1">
        <v>18229</v>
      </c>
      <c r="CG45" s="1">
        <v>17125</v>
      </c>
      <c r="CH45" s="1">
        <v>3098</v>
      </c>
      <c r="CI45" s="1">
        <v>1138</v>
      </c>
      <c r="CJ45" s="1">
        <v>0</v>
      </c>
      <c r="CK45" s="1">
        <v>2405787</v>
      </c>
      <c r="CL45" s="1"/>
      <c r="CM45" s="1"/>
      <c r="CN45" s="1">
        <v>0</v>
      </c>
      <c r="CO45" s="1">
        <v>2405787</v>
      </c>
      <c r="CP45" s="1"/>
      <c r="CQ45" s="1"/>
      <c r="CR45" s="1"/>
      <c r="CS45" s="1">
        <v>0</v>
      </c>
      <c r="CT45" s="1">
        <v>75708</v>
      </c>
      <c r="CU45" s="1">
        <v>72708</v>
      </c>
      <c r="CV45" s="1"/>
      <c r="CW45" s="1"/>
      <c r="CX45" s="2">
        <v>11588766</v>
      </c>
      <c r="CY45" s="1">
        <v>26587024</v>
      </c>
      <c r="CZ45" s="1">
        <v>12857675</v>
      </c>
      <c r="DA45" s="1">
        <v>34279594</v>
      </c>
      <c r="DB45" s="1">
        <v>914424</v>
      </c>
      <c r="DC45" s="1">
        <v>6279424</v>
      </c>
      <c r="DD45" s="1">
        <v>0</v>
      </c>
      <c r="DE45" s="1">
        <v>16218540</v>
      </c>
      <c r="DF45" s="1">
        <v>1077758</v>
      </c>
      <c r="DG45" s="1">
        <v>1077523</v>
      </c>
      <c r="DH45" s="1"/>
      <c r="DI45" s="1"/>
      <c r="DJ45" s="1">
        <v>6898759</v>
      </c>
      <c r="DK45" s="1">
        <v>6973539</v>
      </c>
      <c r="DL45" s="24">
        <v>241721</v>
      </c>
      <c r="DM45" s="24">
        <v>241721</v>
      </c>
      <c r="DN45" s="1"/>
      <c r="DO45" s="1"/>
      <c r="DP45" s="2">
        <v>9132662</v>
      </c>
      <c r="DQ45" s="1">
        <v>30790747</v>
      </c>
      <c r="DR45" s="2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2">
        <v>3725013</v>
      </c>
      <c r="EQ45" s="1">
        <v>3488847</v>
      </c>
      <c r="ER45" s="1">
        <v>2500013</v>
      </c>
      <c r="ES45" s="1">
        <v>2606188</v>
      </c>
      <c r="ET45" s="1"/>
      <c r="EU45" s="1"/>
      <c r="EV45" s="1">
        <v>1251983</v>
      </c>
      <c r="EW45" s="1">
        <v>1396722</v>
      </c>
      <c r="EX45" s="1"/>
      <c r="EY45" s="1"/>
      <c r="EZ45" s="1">
        <v>78044</v>
      </c>
      <c r="FA45" s="1">
        <v>78044</v>
      </c>
      <c r="FB45" s="1"/>
      <c r="FC45" s="1"/>
      <c r="FD45" s="1"/>
      <c r="FE45" s="1"/>
      <c r="FF45" s="1"/>
      <c r="FG45" s="1"/>
      <c r="FH45" s="1">
        <v>679874</v>
      </c>
      <c r="FI45" s="1">
        <v>736802</v>
      </c>
      <c r="FJ45" s="1">
        <v>228342</v>
      </c>
      <c r="FK45" s="1">
        <v>113920</v>
      </c>
      <c r="FL45" s="1"/>
      <c r="FM45" s="1"/>
      <c r="FN45" s="1">
        <v>142307</v>
      </c>
      <c r="FO45" s="1">
        <v>176430</v>
      </c>
      <c r="FP45" s="1"/>
      <c r="FQ45" s="1"/>
      <c r="FR45" s="1">
        <v>95138</v>
      </c>
      <c r="FS45" s="1">
        <v>76303</v>
      </c>
      <c r="FT45" s="1"/>
      <c r="FU45" s="1"/>
      <c r="FV45" s="1">
        <v>25000</v>
      </c>
      <c r="FW45" s="1">
        <v>25800</v>
      </c>
      <c r="FX45" s="1">
        <v>1200000</v>
      </c>
      <c r="FY45" s="1">
        <v>856859</v>
      </c>
      <c r="FZ45" s="1">
        <v>24325</v>
      </c>
      <c r="GA45" s="1">
        <v>27967</v>
      </c>
      <c r="GB45" s="1">
        <v>3725013</v>
      </c>
      <c r="GC45" s="1">
        <v>3488847</v>
      </c>
      <c r="GD45" s="1">
        <v>12857675</v>
      </c>
      <c r="GE45" s="1">
        <v>34279594</v>
      </c>
    </row>
    <row r="46" spans="1:187" s="3" customFormat="1" ht="12" x14ac:dyDescent="0.2">
      <c r="A46" s="1">
        <v>20006</v>
      </c>
      <c r="B46" s="1">
        <v>0</v>
      </c>
      <c r="C46" s="1">
        <v>200344745</v>
      </c>
      <c r="D46" s="1" t="s">
        <v>128</v>
      </c>
      <c r="E46" s="1">
        <v>8</v>
      </c>
      <c r="F46" s="1">
        <v>12</v>
      </c>
      <c r="G46" s="1">
        <v>0</v>
      </c>
      <c r="H46" s="1">
        <v>1</v>
      </c>
      <c r="I46" s="1">
        <v>2021</v>
      </c>
      <c r="J46" s="1">
        <v>4</v>
      </c>
      <c r="K46" s="1" t="s">
        <v>0</v>
      </c>
      <c r="L46" s="1">
        <v>2</v>
      </c>
      <c r="M46" s="1">
        <v>30</v>
      </c>
      <c r="N46" s="1">
        <v>0</v>
      </c>
      <c r="O46" s="1">
        <v>44882.643946759257</v>
      </c>
      <c r="P46" s="1">
        <v>38382514</v>
      </c>
      <c r="Q46" s="1">
        <v>38532573</v>
      </c>
      <c r="R46" s="1">
        <v>16682606</v>
      </c>
      <c r="S46" s="1">
        <v>17099207</v>
      </c>
      <c r="T46" s="1">
        <v>21699908</v>
      </c>
      <c r="U46" s="1">
        <v>21433366</v>
      </c>
      <c r="V46" s="1"/>
      <c r="W46" s="1"/>
      <c r="X46" s="1"/>
      <c r="Y46" s="1"/>
      <c r="Z46" s="1"/>
      <c r="AA46" s="1"/>
      <c r="AB46" s="1">
        <v>8931377</v>
      </c>
      <c r="AC46" s="1">
        <v>9865145</v>
      </c>
      <c r="AD46" s="1">
        <v>39392</v>
      </c>
      <c r="AE46" s="1">
        <v>39392</v>
      </c>
      <c r="AF46" s="1"/>
      <c r="AG46" s="1"/>
      <c r="AH46" s="1"/>
      <c r="AI46" s="1"/>
      <c r="AJ46" s="1">
        <v>6446389</v>
      </c>
      <c r="AK46" s="1">
        <v>6446389</v>
      </c>
      <c r="AL46" s="1">
        <v>2445596</v>
      </c>
      <c r="AM46" s="1">
        <v>3379364</v>
      </c>
      <c r="AN46" s="1"/>
      <c r="AO46" s="1"/>
      <c r="AP46" s="1"/>
      <c r="AQ46" s="1"/>
      <c r="AR46" s="1"/>
      <c r="AS46" s="1"/>
      <c r="AT46" s="1"/>
      <c r="AU46" s="1"/>
      <c r="AV46" s="2">
        <v>30631285</v>
      </c>
      <c r="AW46" s="1">
        <v>31298511</v>
      </c>
      <c r="AX46" s="1">
        <v>14410947</v>
      </c>
      <c r="AY46" s="1">
        <v>13477267</v>
      </c>
      <c r="AZ46" s="1">
        <v>1984642</v>
      </c>
      <c r="BA46" s="1">
        <v>2047813</v>
      </c>
      <c r="BB46" s="1">
        <v>242707</v>
      </c>
      <c r="BC46" s="1">
        <v>282587</v>
      </c>
      <c r="BD46" s="1">
        <v>12176736</v>
      </c>
      <c r="BE46" s="1">
        <v>11098938</v>
      </c>
      <c r="BF46" s="1">
        <v>6862</v>
      </c>
      <c r="BG46" s="1">
        <v>47929</v>
      </c>
      <c r="BH46" s="1">
        <v>135</v>
      </c>
      <c r="BI46" s="1"/>
      <c r="BJ46" s="1"/>
      <c r="BK46" s="1"/>
      <c r="BL46" s="1">
        <v>13675892</v>
      </c>
      <c r="BM46" s="1">
        <v>6826328</v>
      </c>
      <c r="BN46" s="1"/>
      <c r="BO46" s="1"/>
      <c r="BP46" s="1">
        <v>12958924</v>
      </c>
      <c r="BQ46" s="1">
        <v>6322878</v>
      </c>
      <c r="BR46" s="1"/>
      <c r="BS46" s="1"/>
      <c r="BT46" s="1"/>
      <c r="BU46" s="1"/>
      <c r="BV46" s="1"/>
      <c r="BW46" s="1">
        <v>1752</v>
      </c>
      <c r="BX46" s="1">
        <v>369519</v>
      </c>
      <c r="BY46" s="1">
        <v>105843</v>
      </c>
      <c r="BZ46" s="1">
        <v>36347</v>
      </c>
      <c r="CA46" s="1">
        <v>67886</v>
      </c>
      <c r="CB46" s="1">
        <v>29823</v>
      </c>
      <c r="CC46" s="1">
        <v>30209</v>
      </c>
      <c r="CD46" s="1"/>
      <c r="CE46" s="1"/>
      <c r="CF46" s="1">
        <v>86431</v>
      </c>
      <c r="CG46" s="1">
        <v>64593</v>
      </c>
      <c r="CH46" s="1">
        <v>194848</v>
      </c>
      <c r="CI46" s="1">
        <v>233167</v>
      </c>
      <c r="CJ46" s="1">
        <v>60836</v>
      </c>
      <c r="CK46" s="1">
        <v>14678</v>
      </c>
      <c r="CL46" s="1"/>
      <c r="CM46" s="1"/>
      <c r="CN46" s="1">
        <v>20942</v>
      </c>
      <c r="CO46" s="1">
        <v>10120</v>
      </c>
      <c r="CP46" s="1"/>
      <c r="CQ46" s="1"/>
      <c r="CR46" s="1">
        <v>39894</v>
      </c>
      <c r="CS46" s="1">
        <v>4558</v>
      </c>
      <c r="CT46" s="1">
        <v>768992</v>
      </c>
      <c r="CU46" s="1">
        <v>246000</v>
      </c>
      <c r="CV46" s="1"/>
      <c r="CW46" s="1"/>
      <c r="CX46" s="2">
        <v>28916802</v>
      </c>
      <c r="CY46" s="1">
        <v>20564273</v>
      </c>
      <c r="CZ46" s="1">
        <v>59548087</v>
      </c>
      <c r="DA46" s="1">
        <v>51862784</v>
      </c>
      <c r="DB46" s="1">
        <v>15198244</v>
      </c>
      <c r="DC46" s="1">
        <v>15198244</v>
      </c>
      <c r="DD46" s="1">
        <v>133802</v>
      </c>
      <c r="DE46" s="1">
        <v>133802</v>
      </c>
      <c r="DF46" s="1">
        <v>20235824</v>
      </c>
      <c r="DG46" s="1">
        <v>20234686</v>
      </c>
      <c r="DH46" s="1"/>
      <c r="DI46" s="1"/>
      <c r="DJ46" s="1">
        <v>201232</v>
      </c>
      <c r="DK46" s="1">
        <v>722592</v>
      </c>
      <c r="DL46" s="24">
        <v>4549382</v>
      </c>
      <c r="DM46" s="24">
        <v>4571157</v>
      </c>
      <c r="DN46" s="1"/>
      <c r="DO46" s="1"/>
      <c r="DP46" s="2">
        <v>40318484</v>
      </c>
      <c r="DQ46" s="1">
        <v>40860481</v>
      </c>
      <c r="DR46" s="2">
        <v>11617579</v>
      </c>
      <c r="DS46" s="1">
        <v>3245204</v>
      </c>
      <c r="DT46" s="1">
        <v>3125027</v>
      </c>
      <c r="DU46" s="1">
        <v>2940027</v>
      </c>
      <c r="DV46" s="1">
        <v>3125027</v>
      </c>
      <c r="DW46" s="1">
        <v>2940027</v>
      </c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>
        <v>8444053</v>
      </c>
      <c r="EK46" s="1">
        <v>256678</v>
      </c>
      <c r="EL46" s="1">
        <v>48499</v>
      </c>
      <c r="EM46" s="1">
        <v>48499</v>
      </c>
      <c r="EN46" s="1"/>
      <c r="EO46" s="1"/>
      <c r="EP46" s="2">
        <v>7612024</v>
      </c>
      <c r="EQ46" s="1">
        <v>7757099</v>
      </c>
      <c r="ER46" s="1">
        <v>7612024</v>
      </c>
      <c r="ES46" s="1">
        <v>7757099</v>
      </c>
      <c r="ET46" s="1"/>
      <c r="EU46" s="1"/>
      <c r="EV46" s="1">
        <v>3131168</v>
      </c>
      <c r="EW46" s="1">
        <v>2701469</v>
      </c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>
        <v>1185260</v>
      </c>
      <c r="FI46" s="1">
        <v>2231215</v>
      </c>
      <c r="FJ46" s="1">
        <v>197629</v>
      </c>
      <c r="FK46" s="1">
        <v>986500</v>
      </c>
      <c r="FL46" s="1"/>
      <c r="FM46" s="1"/>
      <c r="FN46" s="1">
        <v>120</v>
      </c>
      <c r="FO46" s="1">
        <v>6405</v>
      </c>
      <c r="FP46" s="1">
        <v>917908</v>
      </c>
      <c r="FQ46" s="1">
        <v>839390</v>
      </c>
      <c r="FR46" s="1">
        <v>156863</v>
      </c>
      <c r="FS46" s="1">
        <v>518701</v>
      </c>
      <c r="FT46" s="1"/>
      <c r="FU46" s="1"/>
      <c r="FV46" s="1"/>
      <c r="FW46" s="1"/>
      <c r="FX46" s="1"/>
      <c r="FY46" s="1"/>
      <c r="FZ46" s="1">
        <v>2023076</v>
      </c>
      <c r="GA46" s="1">
        <v>473419</v>
      </c>
      <c r="GB46" s="1">
        <v>19229603</v>
      </c>
      <c r="GC46" s="1">
        <v>11002303</v>
      </c>
      <c r="GD46" s="1">
        <v>59548087</v>
      </c>
      <c r="GE46" s="1">
        <v>51862784</v>
      </c>
    </row>
    <row r="47" spans="1:187" s="3" customFormat="1" ht="12" x14ac:dyDescent="0.2">
      <c r="A47" s="1">
        <v>20006</v>
      </c>
      <c r="B47" s="1">
        <v>0</v>
      </c>
      <c r="C47" s="1">
        <v>200344745</v>
      </c>
      <c r="D47" s="1" t="s">
        <v>128</v>
      </c>
      <c r="E47" s="1">
        <v>8</v>
      </c>
      <c r="F47" s="1">
        <v>12</v>
      </c>
      <c r="G47" s="1">
        <v>0</v>
      </c>
      <c r="H47" s="1">
        <v>1</v>
      </c>
      <c r="I47" s="1">
        <v>2020</v>
      </c>
      <c r="J47" s="1">
        <v>4</v>
      </c>
      <c r="K47" s="1" t="s">
        <v>0</v>
      </c>
      <c r="L47" s="1">
        <v>2</v>
      </c>
      <c r="M47" s="1">
        <v>30</v>
      </c>
      <c r="N47" s="1">
        <v>0</v>
      </c>
      <c r="O47" s="1">
        <v>44795.5003125</v>
      </c>
      <c r="P47" s="1">
        <v>31171881.739999998</v>
      </c>
      <c r="Q47" s="1">
        <v>38382514.439999998</v>
      </c>
      <c r="R47" s="1">
        <v>16115206.24</v>
      </c>
      <c r="S47" s="1">
        <v>16682606.1</v>
      </c>
      <c r="T47" s="1">
        <v>15056675.5</v>
      </c>
      <c r="U47" s="1">
        <v>21699908.34</v>
      </c>
      <c r="V47" s="1"/>
      <c r="W47" s="1"/>
      <c r="X47" s="1"/>
      <c r="Y47" s="1"/>
      <c r="Z47" s="1"/>
      <c r="AA47" s="1"/>
      <c r="AB47" s="1">
        <v>15516710.23</v>
      </c>
      <c r="AC47" s="1">
        <v>8931376.7799999993</v>
      </c>
      <c r="AD47" s="1">
        <v>39391.9</v>
      </c>
      <c r="AE47" s="1">
        <v>39391.9</v>
      </c>
      <c r="AF47" s="1"/>
      <c r="AG47" s="1"/>
      <c r="AH47" s="1"/>
      <c r="AI47" s="1"/>
      <c r="AJ47" s="1">
        <v>13671542.470000001</v>
      </c>
      <c r="AK47" s="1">
        <v>6446388.8799999999</v>
      </c>
      <c r="AL47" s="1">
        <v>1805775.86</v>
      </c>
      <c r="AM47" s="1">
        <v>2445596</v>
      </c>
      <c r="AN47" s="1"/>
      <c r="AO47" s="1"/>
      <c r="AP47" s="1"/>
      <c r="AQ47" s="1"/>
      <c r="AR47" s="1"/>
      <c r="AS47" s="1"/>
      <c r="AT47" s="1"/>
      <c r="AU47" s="1"/>
      <c r="AV47" s="2">
        <v>30573385.73</v>
      </c>
      <c r="AW47" s="1">
        <v>30631285.120000001</v>
      </c>
      <c r="AX47" s="1">
        <v>18951155.850000001</v>
      </c>
      <c r="AY47" s="1">
        <v>14410947.25</v>
      </c>
      <c r="AZ47" s="1">
        <v>6179866.8600000003</v>
      </c>
      <c r="BA47" s="1">
        <v>1984642.29</v>
      </c>
      <c r="BB47" s="1">
        <v>209452.92</v>
      </c>
      <c r="BC47" s="1">
        <v>242706.93</v>
      </c>
      <c r="BD47" s="1">
        <v>12537071</v>
      </c>
      <c r="BE47" s="1">
        <v>12176735.960000001</v>
      </c>
      <c r="BF47" s="1">
        <v>24765.07</v>
      </c>
      <c r="BG47" s="1">
        <v>6862.07</v>
      </c>
      <c r="BH47" s="1"/>
      <c r="BI47" s="1">
        <v>134.52000000000001</v>
      </c>
      <c r="BJ47" s="1"/>
      <c r="BK47" s="1"/>
      <c r="BL47" s="1">
        <v>13968808.699999999</v>
      </c>
      <c r="BM47" s="1">
        <v>13675891.24</v>
      </c>
      <c r="BN47" s="1"/>
      <c r="BO47" s="1"/>
      <c r="BP47" s="1">
        <v>12452176.16</v>
      </c>
      <c r="BQ47" s="1">
        <v>12958924.310000001</v>
      </c>
      <c r="BR47" s="1"/>
      <c r="BS47" s="1"/>
      <c r="BT47" s="1"/>
      <c r="BU47" s="1"/>
      <c r="BV47" s="1"/>
      <c r="BW47" s="1"/>
      <c r="BX47" s="1">
        <v>217494.24</v>
      </c>
      <c r="BY47" s="1">
        <v>369518.89</v>
      </c>
      <c r="BZ47" s="1">
        <v>636535.68999999994</v>
      </c>
      <c r="CA47" s="1">
        <v>36347.06</v>
      </c>
      <c r="CB47" s="1">
        <v>25852.59</v>
      </c>
      <c r="CC47" s="1">
        <v>29822.55</v>
      </c>
      <c r="CD47" s="1"/>
      <c r="CE47" s="1"/>
      <c r="CF47" s="1">
        <v>215469.06</v>
      </c>
      <c r="CG47" s="1">
        <v>86430.89</v>
      </c>
      <c r="CH47" s="1">
        <v>421280.96</v>
      </c>
      <c r="CI47" s="1">
        <v>194847.54</v>
      </c>
      <c r="CJ47" s="1">
        <v>58853.39</v>
      </c>
      <c r="CK47" s="1">
        <v>60835.45</v>
      </c>
      <c r="CL47" s="1"/>
      <c r="CM47" s="1"/>
      <c r="CN47" s="1">
        <v>2123.79</v>
      </c>
      <c r="CO47" s="1">
        <v>20941.849999999999</v>
      </c>
      <c r="CP47" s="1">
        <v>5181.45</v>
      </c>
      <c r="CQ47" s="1">
        <v>0.02</v>
      </c>
      <c r="CR47" s="1">
        <v>51548.15</v>
      </c>
      <c r="CS47" s="1">
        <v>39893.58</v>
      </c>
      <c r="CT47" s="1">
        <v>630985.74</v>
      </c>
      <c r="CU47" s="1">
        <v>768991.69</v>
      </c>
      <c r="CV47" s="1"/>
      <c r="CW47" s="1"/>
      <c r="CX47" s="2">
        <v>33609803.68</v>
      </c>
      <c r="CY47" s="1">
        <v>28916800.149999999</v>
      </c>
      <c r="CZ47" s="1">
        <v>64183189.409999996</v>
      </c>
      <c r="DA47" s="1">
        <v>59548085.270000003</v>
      </c>
      <c r="DB47" s="1">
        <v>13979419.029999999</v>
      </c>
      <c r="DC47" s="1">
        <v>15198243.859999999</v>
      </c>
      <c r="DD47" s="1"/>
      <c r="DE47" s="1">
        <v>133802.21</v>
      </c>
      <c r="DF47" s="1">
        <v>20718970.960000001</v>
      </c>
      <c r="DG47" s="1">
        <v>20235824.440000001</v>
      </c>
      <c r="DH47" s="1"/>
      <c r="DI47" s="1"/>
      <c r="DJ47" s="1">
        <v>3531680.6</v>
      </c>
      <c r="DK47" s="1">
        <v>201232.05</v>
      </c>
      <c r="DL47" s="24">
        <v>2959992.42</v>
      </c>
      <c r="DM47" s="24">
        <v>4549382.49</v>
      </c>
      <c r="DN47" s="1"/>
      <c r="DO47" s="1"/>
      <c r="DP47" s="2">
        <v>41190063.009999998</v>
      </c>
      <c r="DQ47" s="1">
        <v>40318485.049999997</v>
      </c>
      <c r="DR47" s="2">
        <v>14000180.949999999</v>
      </c>
      <c r="DS47" s="1">
        <v>11617579.130000001</v>
      </c>
      <c r="DT47" s="1">
        <v>3125027.24</v>
      </c>
      <c r="DU47" s="1">
        <v>3125027.24</v>
      </c>
      <c r="DV47" s="1">
        <v>3125027.24</v>
      </c>
      <c r="DW47" s="1">
        <v>3125027.24</v>
      </c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>
        <v>10826654.789999999</v>
      </c>
      <c r="EK47" s="1">
        <v>8444052.9700000007</v>
      </c>
      <c r="EL47" s="1">
        <v>48498.92</v>
      </c>
      <c r="EM47" s="1">
        <v>48498.92</v>
      </c>
      <c r="EN47" s="1"/>
      <c r="EO47" s="1"/>
      <c r="EP47" s="2">
        <v>8992945.4499999993</v>
      </c>
      <c r="EQ47" s="1">
        <v>7612021.0899999999</v>
      </c>
      <c r="ER47" s="1">
        <v>8992945.4499999993</v>
      </c>
      <c r="ES47" s="1">
        <v>7612021.0899999999</v>
      </c>
      <c r="ET47" s="1">
        <v>8992945.4499999993</v>
      </c>
      <c r="EU47" s="1">
        <v>7612021.0899999999</v>
      </c>
      <c r="EV47" s="1">
        <v>5269969.09</v>
      </c>
      <c r="EW47" s="1">
        <v>3131168.29</v>
      </c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>
        <v>289939.28999999998</v>
      </c>
      <c r="FI47" s="1">
        <v>1185260.27</v>
      </c>
      <c r="FJ47" s="1">
        <v>62133.37</v>
      </c>
      <c r="FK47" s="1">
        <v>197629.03</v>
      </c>
      <c r="FL47" s="1"/>
      <c r="FM47" s="1"/>
      <c r="FN47" s="1">
        <v>354367.18</v>
      </c>
      <c r="FO47" s="1">
        <v>119.97</v>
      </c>
      <c r="FP47" s="1">
        <v>341294.16</v>
      </c>
      <c r="FQ47" s="1">
        <v>917908.24</v>
      </c>
      <c r="FR47" s="1">
        <v>627145.57999999996</v>
      </c>
      <c r="FS47" s="1">
        <v>156863.07999999999</v>
      </c>
      <c r="FT47" s="1"/>
      <c r="FU47" s="1"/>
      <c r="FV47" s="1"/>
      <c r="FW47" s="1"/>
      <c r="FX47" s="1"/>
      <c r="FY47" s="1"/>
      <c r="FZ47" s="1">
        <v>2048096.78</v>
      </c>
      <c r="GA47" s="1">
        <v>2023072.21</v>
      </c>
      <c r="GB47" s="1">
        <v>22993126.399999999</v>
      </c>
      <c r="GC47" s="1">
        <v>19229600.219999999</v>
      </c>
      <c r="GD47" s="1">
        <v>64183189.409999996</v>
      </c>
      <c r="GE47" s="1">
        <v>59548085.270000003</v>
      </c>
    </row>
    <row r="48" spans="1:187" s="3" customFormat="1" ht="12" x14ac:dyDescent="0.2">
      <c r="A48" s="1">
        <v>20006</v>
      </c>
      <c r="B48" s="1">
        <v>0</v>
      </c>
      <c r="C48" s="1">
        <v>200344745</v>
      </c>
      <c r="D48" s="1" t="s">
        <v>128</v>
      </c>
      <c r="E48" s="1">
        <v>8</v>
      </c>
      <c r="F48" s="1">
        <v>12</v>
      </c>
      <c r="G48" s="1">
        <v>0</v>
      </c>
      <c r="H48" s="1">
        <v>1</v>
      </c>
      <c r="I48" s="1">
        <v>2019</v>
      </c>
      <c r="J48" s="1">
        <v>4</v>
      </c>
      <c r="K48" s="1" t="s">
        <v>0</v>
      </c>
      <c r="L48" s="1">
        <v>1</v>
      </c>
      <c r="M48" s="1">
        <v>30</v>
      </c>
      <c r="N48" s="1">
        <v>0</v>
      </c>
      <c r="O48" s="1">
        <v>43878.735891203702</v>
      </c>
      <c r="P48" s="1">
        <v>24336306</v>
      </c>
      <c r="Q48" s="1">
        <v>29205753</v>
      </c>
      <c r="R48" s="1">
        <v>12827719</v>
      </c>
      <c r="S48" s="1">
        <v>15181769</v>
      </c>
      <c r="T48" s="1">
        <v>11508587</v>
      </c>
      <c r="U48" s="1">
        <v>14023984</v>
      </c>
      <c r="V48" s="1">
        <v>10000</v>
      </c>
      <c r="W48" s="1"/>
      <c r="X48" s="1">
        <v>5167</v>
      </c>
      <c r="Y48" s="1"/>
      <c r="Z48" s="1">
        <v>4833</v>
      </c>
      <c r="AA48" s="1"/>
      <c r="AB48" s="1">
        <v>14485514</v>
      </c>
      <c r="AC48" s="1">
        <v>15516710</v>
      </c>
      <c r="AD48" s="1">
        <v>38976</v>
      </c>
      <c r="AE48" s="1">
        <v>39392</v>
      </c>
      <c r="AF48" s="1"/>
      <c r="AG48" s="1"/>
      <c r="AH48" s="1"/>
      <c r="AI48" s="1"/>
      <c r="AJ48" s="1">
        <v>12640762</v>
      </c>
      <c r="AK48" s="1">
        <v>13671542</v>
      </c>
      <c r="AL48" s="1">
        <v>1805776</v>
      </c>
      <c r="AM48" s="1">
        <v>1805776</v>
      </c>
      <c r="AN48" s="1"/>
      <c r="AO48" s="1"/>
      <c r="AP48" s="1"/>
      <c r="AQ48" s="1"/>
      <c r="AR48" s="1"/>
      <c r="AS48" s="1"/>
      <c r="AT48" s="1"/>
      <c r="AU48" s="1"/>
      <c r="AV48" s="2">
        <v>25998934</v>
      </c>
      <c r="AW48" s="1">
        <v>29540694</v>
      </c>
      <c r="AX48" s="1">
        <v>11618268</v>
      </c>
      <c r="AY48" s="1">
        <v>18951155</v>
      </c>
      <c r="AZ48" s="1">
        <v>6748271</v>
      </c>
      <c r="BA48" s="1">
        <v>6179866</v>
      </c>
      <c r="BB48" s="1">
        <v>112874</v>
      </c>
      <c r="BC48" s="1">
        <v>209453</v>
      </c>
      <c r="BD48" s="1">
        <v>4757123</v>
      </c>
      <c r="BE48" s="1">
        <v>12537071</v>
      </c>
      <c r="BF48" s="1"/>
      <c r="BG48" s="1">
        <v>24765</v>
      </c>
      <c r="BH48" s="1">
        <v>26142</v>
      </c>
      <c r="BI48" s="1"/>
      <c r="BJ48" s="1"/>
      <c r="BK48" s="1"/>
      <c r="BL48" s="1">
        <v>2919690</v>
      </c>
      <c r="BM48" s="1">
        <v>13968809</v>
      </c>
      <c r="BN48" s="1"/>
      <c r="BO48" s="1"/>
      <c r="BP48" s="1">
        <v>2108706</v>
      </c>
      <c r="BQ48" s="1">
        <v>12452176</v>
      </c>
      <c r="BR48" s="1"/>
      <c r="BS48" s="1"/>
      <c r="BT48" s="1"/>
      <c r="BU48" s="1"/>
      <c r="BV48" s="1">
        <v>43181</v>
      </c>
      <c r="BW48" s="1"/>
      <c r="BX48" s="1">
        <v>316717</v>
      </c>
      <c r="BY48" s="1">
        <v>217494</v>
      </c>
      <c r="BZ48" s="1">
        <v>22963</v>
      </c>
      <c r="CA48" s="1">
        <v>636536</v>
      </c>
      <c r="CB48" s="1">
        <v>30787</v>
      </c>
      <c r="CC48" s="1">
        <v>25853</v>
      </c>
      <c r="CD48" s="1"/>
      <c r="CE48" s="1"/>
      <c r="CF48" s="1">
        <v>172003</v>
      </c>
      <c r="CG48" s="1">
        <v>215469</v>
      </c>
      <c r="CH48" s="1">
        <v>225333</v>
      </c>
      <c r="CI48" s="1">
        <v>421281</v>
      </c>
      <c r="CJ48" s="1">
        <v>6879718</v>
      </c>
      <c r="CK48" s="1">
        <v>58853</v>
      </c>
      <c r="CL48" s="1"/>
      <c r="CM48" s="1"/>
      <c r="CN48" s="1">
        <v>783648</v>
      </c>
      <c r="CO48" s="1">
        <v>2124</v>
      </c>
      <c r="CP48" s="1">
        <v>1141598</v>
      </c>
      <c r="CQ48" s="1">
        <v>5181</v>
      </c>
      <c r="CR48" s="1">
        <v>4954472</v>
      </c>
      <c r="CS48" s="1">
        <v>51548</v>
      </c>
      <c r="CT48" s="1">
        <v>202823</v>
      </c>
      <c r="CU48" s="1">
        <v>630986</v>
      </c>
      <c r="CV48" s="1"/>
      <c r="CW48" s="1"/>
      <c r="CX48" s="2">
        <v>21646641</v>
      </c>
      <c r="CY48" s="1">
        <v>33609803</v>
      </c>
      <c r="CZ48" s="1">
        <v>47645575</v>
      </c>
      <c r="DA48" s="1">
        <v>63150497</v>
      </c>
      <c r="DB48" s="1">
        <v>7506400</v>
      </c>
      <c r="DC48" s="1">
        <v>13979419</v>
      </c>
      <c r="DD48" s="1"/>
      <c r="DE48" s="1"/>
      <c r="DF48" s="1">
        <v>19733097</v>
      </c>
      <c r="DG48" s="1">
        <v>19702392</v>
      </c>
      <c r="DH48" s="1"/>
      <c r="DI48" s="1"/>
      <c r="DJ48" s="1">
        <v>6756693</v>
      </c>
      <c r="DK48" s="1">
        <v>3531681</v>
      </c>
      <c r="DL48" s="24">
        <v>2081584</v>
      </c>
      <c r="DM48" s="24">
        <v>2959992</v>
      </c>
      <c r="DN48" s="1"/>
      <c r="DO48" s="1"/>
      <c r="DP48" s="2">
        <v>36077774</v>
      </c>
      <c r="DQ48" s="1">
        <v>40173484</v>
      </c>
      <c r="DR48" s="2">
        <v>6613609</v>
      </c>
      <c r="DS48" s="1">
        <v>14000181</v>
      </c>
      <c r="DT48" s="1">
        <v>3225027</v>
      </c>
      <c r="DU48" s="1">
        <v>3125027</v>
      </c>
      <c r="DV48" s="1">
        <v>3225027</v>
      </c>
      <c r="DW48" s="1">
        <v>3125027</v>
      </c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>
        <v>3340083</v>
      </c>
      <c r="EK48" s="1">
        <v>10826655</v>
      </c>
      <c r="EL48" s="1">
        <v>48499</v>
      </c>
      <c r="EM48" s="1">
        <v>48499</v>
      </c>
      <c r="EN48" s="1"/>
      <c r="EO48" s="1"/>
      <c r="EP48" s="2">
        <v>4954194</v>
      </c>
      <c r="EQ48" s="1">
        <v>8976832</v>
      </c>
      <c r="ER48" s="1">
        <v>4954194</v>
      </c>
      <c r="ES48" s="1">
        <v>8976832</v>
      </c>
      <c r="ET48" s="1"/>
      <c r="EU48" s="1"/>
      <c r="EV48" s="1">
        <v>107813</v>
      </c>
      <c r="EW48" s="1">
        <v>5269969</v>
      </c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>
        <v>283490</v>
      </c>
      <c r="FI48" s="1">
        <v>289939</v>
      </c>
      <c r="FJ48" s="1">
        <v>246215</v>
      </c>
      <c r="FK48" s="1">
        <v>46020</v>
      </c>
      <c r="FL48" s="1"/>
      <c r="FM48" s="1"/>
      <c r="FN48" s="1">
        <v>165724</v>
      </c>
      <c r="FO48" s="1">
        <v>354367</v>
      </c>
      <c r="FP48" s="1">
        <v>1779340</v>
      </c>
      <c r="FQ48" s="1">
        <v>341294</v>
      </c>
      <c r="FR48" s="1">
        <v>411591</v>
      </c>
      <c r="FS48" s="1">
        <v>627146</v>
      </c>
      <c r="FT48" s="1"/>
      <c r="FU48" s="1"/>
      <c r="FV48" s="1"/>
      <c r="FW48" s="1"/>
      <c r="FX48" s="1"/>
      <c r="FY48" s="1"/>
      <c r="FZ48" s="1">
        <v>1960021</v>
      </c>
      <c r="GA48" s="1">
        <v>2048097</v>
      </c>
      <c r="GB48" s="1">
        <v>11567803</v>
      </c>
      <c r="GC48" s="1">
        <v>22977013</v>
      </c>
      <c r="GD48" s="1">
        <v>47645577</v>
      </c>
      <c r="GE48" s="1">
        <v>63150497</v>
      </c>
    </row>
    <row r="49" spans="1:187" s="3" customFormat="1" x14ac:dyDescent="0.25">
      <c r="A49" s="1">
        <v>20006</v>
      </c>
      <c r="B49" s="1">
        <v>0</v>
      </c>
      <c r="C49" s="3">
        <v>200344745</v>
      </c>
      <c r="D49" s="3" t="s">
        <v>128</v>
      </c>
      <c r="E49" s="4">
        <v>8</v>
      </c>
      <c r="F49" s="4">
        <v>12</v>
      </c>
      <c r="G49" s="4">
        <v>0</v>
      </c>
      <c r="H49" s="4">
        <v>1</v>
      </c>
      <c r="I49" s="1">
        <v>2018</v>
      </c>
      <c r="J49" s="1">
        <v>4</v>
      </c>
      <c r="K49" s="3" t="s">
        <v>0</v>
      </c>
      <c r="L49" s="1">
        <v>1</v>
      </c>
      <c r="M49" s="1">
        <v>30</v>
      </c>
      <c r="N49" s="5">
        <v>0</v>
      </c>
      <c r="O49" s="6">
        <v>43511.842557870368</v>
      </c>
      <c r="P49" s="1">
        <v>14830107</v>
      </c>
      <c r="Q49" s="1">
        <v>23120843</v>
      </c>
      <c r="R49" s="1">
        <v>7934318</v>
      </c>
      <c r="S49" s="1">
        <v>12376912</v>
      </c>
      <c r="T49" s="1">
        <v>6895789</v>
      </c>
      <c r="U49" s="1">
        <v>10743931</v>
      </c>
      <c r="V49" s="1">
        <v>10000</v>
      </c>
      <c r="W49" s="1">
        <v>10000</v>
      </c>
      <c r="X49" s="1">
        <v>3167</v>
      </c>
      <c r="Y49" s="1">
        <v>5167</v>
      </c>
      <c r="Z49" s="1">
        <v>6833</v>
      </c>
      <c r="AA49" s="1">
        <v>4833</v>
      </c>
      <c r="AB49" s="1">
        <v>2827768</v>
      </c>
      <c r="AC49" s="1">
        <v>14485514</v>
      </c>
      <c r="AD49" s="1">
        <v>38976</v>
      </c>
      <c r="AE49" s="1">
        <v>38976</v>
      </c>
      <c r="AF49" s="1">
        <v>0</v>
      </c>
      <c r="AG49" s="1">
        <v>0</v>
      </c>
      <c r="AH49" s="1">
        <v>0</v>
      </c>
      <c r="AI49" s="1">
        <v>0</v>
      </c>
      <c r="AJ49" s="1">
        <v>2750631</v>
      </c>
      <c r="AK49" s="1">
        <v>12640762</v>
      </c>
      <c r="AL49" s="1">
        <v>38161</v>
      </c>
      <c r="AM49" s="1">
        <v>1805776</v>
      </c>
      <c r="AN49" s="1">
        <v>0</v>
      </c>
      <c r="AO49" s="1">
        <v>0</v>
      </c>
      <c r="AP49" s="1">
        <v>106022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2">
        <v>9836412</v>
      </c>
      <c r="AW49" s="1">
        <v>25234278</v>
      </c>
      <c r="AX49" s="1">
        <v>9990805</v>
      </c>
      <c r="AY49" s="1">
        <v>11618268</v>
      </c>
      <c r="AZ49" s="1">
        <v>6765735</v>
      </c>
      <c r="BA49" s="1">
        <v>6748271</v>
      </c>
      <c r="BB49" s="1">
        <v>94450</v>
      </c>
      <c r="BC49" s="1">
        <v>112874</v>
      </c>
      <c r="BD49" s="1">
        <v>3016983</v>
      </c>
      <c r="BE49" s="1">
        <v>4757123</v>
      </c>
      <c r="BF49" s="1">
        <v>113637</v>
      </c>
      <c r="BG49" s="1">
        <v>0</v>
      </c>
      <c r="BH49" s="1">
        <v>0</v>
      </c>
      <c r="BI49" s="1">
        <v>26142</v>
      </c>
      <c r="BJ49" s="1">
        <v>0</v>
      </c>
      <c r="BK49" s="1">
        <v>0</v>
      </c>
      <c r="BL49" s="1">
        <v>5656789</v>
      </c>
      <c r="BM49" s="1">
        <v>2942496</v>
      </c>
      <c r="BN49" s="1">
        <v>0</v>
      </c>
      <c r="BO49" s="1">
        <v>0</v>
      </c>
      <c r="BP49" s="1">
        <v>2261387</v>
      </c>
      <c r="BQ49" s="1">
        <v>2108706</v>
      </c>
      <c r="BR49" s="1">
        <v>0</v>
      </c>
      <c r="BS49" s="1">
        <v>0</v>
      </c>
      <c r="BT49" s="1">
        <v>0</v>
      </c>
      <c r="BU49" s="1">
        <v>0</v>
      </c>
      <c r="BV49" s="1">
        <v>40647</v>
      </c>
      <c r="BW49" s="1">
        <v>43181</v>
      </c>
      <c r="BX49" s="1">
        <v>2660915</v>
      </c>
      <c r="BY49" s="1">
        <v>316717</v>
      </c>
      <c r="BZ49" s="1">
        <v>62846</v>
      </c>
      <c r="CA49" s="1">
        <v>22963</v>
      </c>
      <c r="CB49" s="1">
        <v>23963</v>
      </c>
      <c r="CC49" s="1">
        <v>30787</v>
      </c>
      <c r="CD49" s="1">
        <v>0</v>
      </c>
      <c r="CE49" s="1">
        <v>0</v>
      </c>
      <c r="CF49" s="1">
        <v>187720</v>
      </c>
      <c r="CG49" s="1">
        <v>172003</v>
      </c>
      <c r="CH49" s="1">
        <v>419311</v>
      </c>
      <c r="CI49" s="1">
        <v>248139</v>
      </c>
      <c r="CJ49" s="1">
        <v>4951199</v>
      </c>
      <c r="CK49" s="1">
        <v>6879718</v>
      </c>
      <c r="CL49" s="1">
        <v>0</v>
      </c>
      <c r="CM49" s="1">
        <v>0</v>
      </c>
      <c r="CN49" s="1">
        <v>325136</v>
      </c>
      <c r="CO49" s="1">
        <v>783648</v>
      </c>
      <c r="CP49" s="1">
        <v>4486822</v>
      </c>
      <c r="CQ49" s="1">
        <v>1141598</v>
      </c>
      <c r="CR49" s="1">
        <v>139241</v>
      </c>
      <c r="CS49" s="1">
        <v>4954472</v>
      </c>
      <c r="CT49" s="1">
        <v>0</v>
      </c>
      <c r="CU49" s="1">
        <v>202823</v>
      </c>
      <c r="CV49" s="1">
        <v>0</v>
      </c>
      <c r="CW49" s="1">
        <v>0</v>
      </c>
      <c r="CX49" s="2">
        <v>20598793</v>
      </c>
      <c r="CY49" s="1">
        <v>21669447</v>
      </c>
      <c r="CZ49" s="1">
        <v>30435205</v>
      </c>
      <c r="DA49" s="1">
        <v>46903725</v>
      </c>
      <c r="DB49" s="1">
        <v>706170</v>
      </c>
      <c r="DC49" s="1">
        <v>7506399</v>
      </c>
      <c r="DD49" s="1">
        <v>0</v>
      </c>
      <c r="DE49" s="1">
        <v>0</v>
      </c>
      <c r="DF49" s="1">
        <v>4333297</v>
      </c>
      <c r="DG49" s="1">
        <v>18968441</v>
      </c>
      <c r="DH49" s="1">
        <v>0</v>
      </c>
      <c r="DI49" s="1">
        <v>0</v>
      </c>
      <c r="DJ49" s="1">
        <v>11902511</v>
      </c>
      <c r="DK49" s="1">
        <v>6756693</v>
      </c>
      <c r="DL49" s="24">
        <v>848028</v>
      </c>
      <c r="DM49" s="24">
        <v>2081584</v>
      </c>
      <c r="DN49" s="1">
        <v>0</v>
      </c>
      <c r="DO49" s="1">
        <v>0</v>
      </c>
      <c r="DP49" s="2">
        <v>17790006</v>
      </c>
      <c r="DQ49" s="1">
        <v>35313117</v>
      </c>
      <c r="DR49" s="2">
        <v>7114914</v>
      </c>
      <c r="DS49" s="1">
        <v>6613609</v>
      </c>
      <c r="DT49" s="1">
        <v>4750790</v>
      </c>
      <c r="DU49" s="1">
        <v>3225027</v>
      </c>
      <c r="DV49" s="1">
        <v>4750790</v>
      </c>
      <c r="DW49" s="1">
        <v>3225027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1965625</v>
      </c>
      <c r="EK49" s="1">
        <v>3340083</v>
      </c>
      <c r="EL49" s="1">
        <v>398499</v>
      </c>
      <c r="EM49" s="1">
        <v>48499</v>
      </c>
      <c r="EN49" s="1">
        <v>0</v>
      </c>
      <c r="EO49" s="1">
        <v>0</v>
      </c>
      <c r="EP49" s="2">
        <v>5530285</v>
      </c>
      <c r="EQ49" s="1">
        <v>4976999</v>
      </c>
      <c r="ER49" s="1">
        <v>3530285</v>
      </c>
      <c r="ES49" s="1">
        <v>4976999</v>
      </c>
      <c r="ET49" s="1">
        <v>0</v>
      </c>
      <c r="EU49" s="1">
        <v>0</v>
      </c>
      <c r="EV49" s="1">
        <v>107663</v>
      </c>
      <c r="EW49" s="1">
        <v>107813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469412</v>
      </c>
      <c r="FI49" s="1">
        <v>283490</v>
      </c>
      <c r="FJ49" s="1">
        <v>354355</v>
      </c>
      <c r="FK49" s="1">
        <v>246215</v>
      </c>
      <c r="FL49" s="1">
        <v>0</v>
      </c>
      <c r="FM49" s="1">
        <v>0</v>
      </c>
      <c r="FN49" s="1">
        <v>304875</v>
      </c>
      <c r="FO49" s="1">
        <v>165724</v>
      </c>
      <c r="FP49" s="1">
        <v>76102</v>
      </c>
      <c r="FQ49" s="1">
        <v>1779340</v>
      </c>
      <c r="FR49" s="1">
        <v>112845</v>
      </c>
      <c r="FS49" s="1">
        <v>411591</v>
      </c>
      <c r="FT49" s="1">
        <v>2000000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2105033</v>
      </c>
      <c r="GA49" s="1">
        <v>1982826</v>
      </c>
      <c r="GB49" s="1">
        <v>12645199</v>
      </c>
      <c r="GC49" s="1">
        <v>11590608</v>
      </c>
      <c r="GD49" s="1">
        <v>30435205</v>
      </c>
      <c r="GE49" s="1">
        <v>46903725</v>
      </c>
    </row>
    <row r="50" spans="1:187" s="3" customFormat="1" ht="12" x14ac:dyDescent="0.2">
      <c r="A50" s="1">
        <v>20006</v>
      </c>
      <c r="B50" s="1">
        <v>0</v>
      </c>
      <c r="C50" s="1">
        <v>200378039</v>
      </c>
      <c r="D50" s="1" t="s">
        <v>129</v>
      </c>
      <c r="E50" s="1">
        <v>35</v>
      </c>
      <c r="F50" s="1">
        <v>9</v>
      </c>
      <c r="G50" s="1">
        <v>0</v>
      </c>
      <c r="H50" s="1">
        <v>13</v>
      </c>
      <c r="I50" s="1">
        <v>2021</v>
      </c>
      <c r="J50" s="1">
        <v>4</v>
      </c>
      <c r="K50" s="1" t="s">
        <v>0</v>
      </c>
      <c r="L50" s="1">
        <v>1</v>
      </c>
      <c r="M50" s="1">
        <v>30</v>
      </c>
      <c r="N50" s="1">
        <v>0</v>
      </c>
      <c r="O50" s="1">
        <v>44582.480810185189</v>
      </c>
      <c r="P50" s="1">
        <v>78340</v>
      </c>
      <c r="Q50" s="1">
        <v>78340</v>
      </c>
      <c r="R50" s="1">
        <v>57055.7</v>
      </c>
      <c r="S50" s="1">
        <v>60972.7</v>
      </c>
      <c r="T50" s="1">
        <v>21284.3</v>
      </c>
      <c r="U50" s="1">
        <v>17367.3</v>
      </c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2">
        <v>21284.3</v>
      </c>
      <c r="AW50" s="1">
        <v>17367.3</v>
      </c>
      <c r="AX50" s="1">
        <v>54655</v>
      </c>
      <c r="AY50" s="1">
        <v>66638.5</v>
      </c>
      <c r="AZ50" s="1">
        <v>54655</v>
      </c>
      <c r="BA50" s="1">
        <v>66638.5</v>
      </c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>
        <v>4578.6000000000004</v>
      </c>
      <c r="BM50" s="1">
        <v>4302.7</v>
      </c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>
        <v>4578.6000000000004</v>
      </c>
      <c r="CA50" s="1">
        <v>4302.7</v>
      </c>
      <c r="CB50" s="1"/>
      <c r="CC50" s="1"/>
      <c r="CD50" s="1"/>
      <c r="CE50" s="1"/>
      <c r="CF50" s="1"/>
      <c r="CG50" s="1"/>
      <c r="CH50" s="1"/>
      <c r="CI50" s="1"/>
      <c r="CJ50" s="1">
        <v>1677.4</v>
      </c>
      <c r="CK50" s="1"/>
      <c r="CL50" s="1"/>
      <c r="CM50" s="1"/>
      <c r="CN50" s="1">
        <v>1677.4</v>
      </c>
      <c r="CO50" s="1"/>
      <c r="CP50" s="1"/>
      <c r="CQ50" s="1"/>
      <c r="CR50" s="1"/>
      <c r="CS50" s="1"/>
      <c r="CT50" s="1"/>
      <c r="CU50" s="1"/>
      <c r="CV50" s="1"/>
      <c r="CW50" s="1"/>
      <c r="CX50" s="2">
        <v>60911</v>
      </c>
      <c r="CY50" s="1">
        <v>70941.2</v>
      </c>
      <c r="CZ50" s="1">
        <v>82195.3</v>
      </c>
      <c r="DA50" s="1">
        <v>88308.5</v>
      </c>
      <c r="DB50" s="1">
        <v>67300</v>
      </c>
      <c r="DC50" s="1">
        <v>67300</v>
      </c>
      <c r="DD50" s="1"/>
      <c r="DE50" s="1"/>
      <c r="DF50" s="1"/>
      <c r="DG50" s="1"/>
      <c r="DH50" s="1"/>
      <c r="DI50" s="1"/>
      <c r="DJ50" s="1">
        <v>10395.299999999999</v>
      </c>
      <c r="DK50" s="1">
        <v>-929.7</v>
      </c>
      <c r="DL50" s="24"/>
      <c r="DM50" s="24"/>
      <c r="DN50" s="1"/>
      <c r="DO50" s="1"/>
      <c r="DP50" s="2">
        <v>77695.3</v>
      </c>
      <c r="DQ50" s="1">
        <v>66370.3</v>
      </c>
      <c r="DR50" s="2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2">
        <v>4500</v>
      </c>
      <c r="EQ50" s="1">
        <v>21938.2</v>
      </c>
      <c r="ER50" s="1">
        <v>4500</v>
      </c>
      <c r="ES50" s="1">
        <v>21938.2</v>
      </c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>
        <v>39.9</v>
      </c>
      <c r="FL50" s="1"/>
      <c r="FM50" s="1"/>
      <c r="FN50" s="1"/>
      <c r="FO50" s="1"/>
      <c r="FP50" s="1"/>
      <c r="FQ50" s="1"/>
      <c r="FR50" s="1">
        <v>4500</v>
      </c>
      <c r="FS50" s="1">
        <v>21898.3</v>
      </c>
      <c r="FT50" s="1"/>
      <c r="FU50" s="1"/>
      <c r="FV50" s="1"/>
      <c r="FW50" s="1"/>
      <c r="FX50" s="1"/>
      <c r="FY50" s="1"/>
      <c r="FZ50" s="1"/>
      <c r="GA50" s="1"/>
      <c r="GB50" s="1">
        <v>4500</v>
      </c>
      <c r="GC50" s="1">
        <v>21938.2</v>
      </c>
      <c r="GD50" s="1">
        <v>82195.3</v>
      </c>
      <c r="GE50" s="1">
        <v>88308.5</v>
      </c>
    </row>
    <row r="51" spans="1:187" s="3" customFormat="1" ht="12" x14ac:dyDescent="0.2">
      <c r="A51" s="1">
        <v>20006</v>
      </c>
      <c r="B51" s="1">
        <v>0</v>
      </c>
      <c r="C51" s="1">
        <v>200378039</v>
      </c>
      <c r="D51" s="1" t="s">
        <v>129</v>
      </c>
      <c r="E51" s="1">
        <v>35</v>
      </c>
      <c r="F51" s="1">
        <v>9</v>
      </c>
      <c r="G51" s="1">
        <v>0</v>
      </c>
      <c r="H51" s="1">
        <v>13</v>
      </c>
      <c r="I51" s="1">
        <v>2020</v>
      </c>
      <c r="J51" s="1">
        <v>4</v>
      </c>
      <c r="K51" s="1" t="s">
        <v>0</v>
      </c>
      <c r="L51" s="1">
        <v>1</v>
      </c>
      <c r="M51" s="1">
        <v>30</v>
      </c>
      <c r="N51" s="1">
        <v>0</v>
      </c>
      <c r="O51" s="1">
        <v>44211.843333333331</v>
      </c>
      <c r="P51" s="1">
        <v>78340</v>
      </c>
      <c r="Q51" s="1">
        <v>78340</v>
      </c>
      <c r="R51" s="1">
        <v>53138.7</v>
      </c>
      <c r="S51" s="1">
        <v>57055.7</v>
      </c>
      <c r="T51" s="1">
        <v>25201.3</v>
      </c>
      <c r="U51" s="1">
        <v>21284.3</v>
      </c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2">
        <v>25201.3</v>
      </c>
      <c r="AW51" s="1">
        <v>21284.3</v>
      </c>
      <c r="AX51" s="1">
        <v>23558.1</v>
      </c>
      <c r="AY51" s="1">
        <v>54655</v>
      </c>
      <c r="AZ51" s="1">
        <v>23558.1</v>
      </c>
      <c r="BA51" s="1">
        <v>54655</v>
      </c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>
        <v>11672.8</v>
      </c>
      <c r="BM51" s="1">
        <v>4578.6000000000004</v>
      </c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>
        <v>6000</v>
      </c>
      <c r="BY51" s="1"/>
      <c r="BZ51" s="1">
        <v>5672.8</v>
      </c>
      <c r="CA51" s="1">
        <v>4578.6000000000004</v>
      </c>
      <c r="CB51" s="1"/>
      <c r="CC51" s="1"/>
      <c r="CD51" s="1"/>
      <c r="CE51" s="1"/>
      <c r="CF51" s="1"/>
      <c r="CG51" s="1"/>
      <c r="CH51" s="1"/>
      <c r="CI51" s="1"/>
      <c r="CJ51" s="1">
        <v>27710.7</v>
      </c>
      <c r="CK51" s="1">
        <v>1677.4</v>
      </c>
      <c r="CL51" s="1"/>
      <c r="CM51" s="1"/>
      <c r="CN51" s="1">
        <v>27710.7</v>
      </c>
      <c r="CO51" s="1">
        <v>1677.4</v>
      </c>
      <c r="CP51" s="1"/>
      <c r="CQ51" s="1"/>
      <c r="CR51" s="1"/>
      <c r="CS51" s="1"/>
      <c r="CT51" s="1"/>
      <c r="CU51" s="1"/>
      <c r="CV51" s="1"/>
      <c r="CW51" s="1"/>
      <c r="CX51" s="2">
        <v>62941.599999999999</v>
      </c>
      <c r="CY51" s="1">
        <v>60911</v>
      </c>
      <c r="CZ51" s="1">
        <v>88142.9</v>
      </c>
      <c r="DA51" s="1">
        <v>82195.3</v>
      </c>
      <c r="DB51" s="1">
        <v>67300</v>
      </c>
      <c r="DC51" s="1">
        <v>67300</v>
      </c>
      <c r="DD51" s="1"/>
      <c r="DE51" s="1"/>
      <c r="DF51" s="1"/>
      <c r="DG51" s="1"/>
      <c r="DH51" s="1"/>
      <c r="DI51" s="1"/>
      <c r="DJ51" s="1">
        <v>16345</v>
      </c>
      <c r="DK51" s="1">
        <v>10395.299999999999</v>
      </c>
      <c r="DL51" s="24"/>
      <c r="DM51" s="24"/>
      <c r="DN51" s="1"/>
      <c r="DO51" s="1"/>
      <c r="DP51" s="2">
        <v>83645</v>
      </c>
      <c r="DQ51" s="1">
        <v>77695.3</v>
      </c>
      <c r="DR51" s="2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2">
        <v>4497.8999999999996</v>
      </c>
      <c r="EQ51" s="1">
        <v>4500</v>
      </c>
      <c r="ER51" s="1">
        <v>4497.8999999999996</v>
      </c>
      <c r="ES51" s="1">
        <v>4500</v>
      </c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>
        <v>4497.8999999999996</v>
      </c>
      <c r="FQ51" s="1">
        <v>4500</v>
      </c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>
        <v>4497.8999999999996</v>
      </c>
      <c r="GC51" s="1">
        <v>4500</v>
      </c>
      <c r="GD51" s="1">
        <v>88142.9</v>
      </c>
      <c r="GE51" s="1">
        <v>82195.3</v>
      </c>
    </row>
    <row r="52" spans="1:187" s="3" customFormat="1" ht="12" x14ac:dyDescent="0.2">
      <c r="A52" s="1">
        <v>20006</v>
      </c>
      <c r="B52" s="1">
        <v>0</v>
      </c>
      <c r="C52" s="1">
        <v>200378039</v>
      </c>
      <c r="D52" s="1" t="s">
        <v>129</v>
      </c>
      <c r="E52" s="1">
        <v>35</v>
      </c>
      <c r="F52" s="1">
        <v>9</v>
      </c>
      <c r="G52" s="1">
        <v>0</v>
      </c>
      <c r="H52" s="1">
        <v>13</v>
      </c>
      <c r="I52" s="1">
        <v>2019</v>
      </c>
      <c r="J52" s="1">
        <v>4</v>
      </c>
      <c r="K52" s="1" t="s">
        <v>0</v>
      </c>
      <c r="L52" s="1">
        <v>2</v>
      </c>
      <c r="M52" s="1">
        <v>30</v>
      </c>
      <c r="N52" s="1">
        <v>0</v>
      </c>
      <c r="O52" s="1">
        <v>43900.640856481485</v>
      </c>
      <c r="P52" s="1">
        <v>78340</v>
      </c>
      <c r="Q52" s="1">
        <v>78340</v>
      </c>
      <c r="R52" s="1">
        <v>50608.3</v>
      </c>
      <c r="S52" s="1">
        <v>53138.7</v>
      </c>
      <c r="T52" s="1">
        <v>27731.7</v>
      </c>
      <c r="U52" s="1">
        <v>25201.3</v>
      </c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2">
        <v>27731.7</v>
      </c>
      <c r="AW52" s="1">
        <v>25201.3</v>
      </c>
      <c r="AX52" s="1"/>
      <c r="AY52" s="1">
        <v>23558.1</v>
      </c>
      <c r="AZ52" s="1"/>
      <c r="BA52" s="1">
        <v>23558.1</v>
      </c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>
        <v>59931</v>
      </c>
      <c r="BM52" s="1">
        <v>11672.8</v>
      </c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>
        <v>57841.3</v>
      </c>
      <c r="BY52" s="1">
        <v>6000</v>
      </c>
      <c r="BZ52" s="1">
        <v>2089.6999999999998</v>
      </c>
      <c r="CA52" s="1">
        <v>5672.8</v>
      </c>
      <c r="CB52" s="1"/>
      <c r="CC52" s="1"/>
      <c r="CD52" s="1"/>
      <c r="CE52" s="1"/>
      <c r="CF52" s="1"/>
      <c r="CG52" s="1"/>
      <c r="CH52" s="1"/>
      <c r="CI52" s="1"/>
      <c r="CJ52" s="1">
        <v>11744.6</v>
      </c>
      <c r="CK52" s="1">
        <v>27710.7</v>
      </c>
      <c r="CL52" s="1"/>
      <c r="CM52" s="1"/>
      <c r="CN52" s="1">
        <v>11744.6</v>
      </c>
      <c r="CO52" s="1">
        <v>27710.7</v>
      </c>
      <c r="CP52" s="1"/>
      <c r="CQ52" s="1"/>
      <c r="CR52" s="1"/>
      <c r="CS52" s="1"/>
      <c r="CT52" s="1"/>
      <c r="CU52" s="1"/>
      <c r="CV52" s="1"/>
      <c r="CW52" s="1"/>
      <c r="CX52" s="2">
        <v>71675.600000000006</v>
      </c>
      <c r="CY52" s="1">
        <v>62941.599999999999</v>
      </c>
      <c r="CZ52" s="1">
        <v>99407.3</v>
      </c>
      <c r="DA52" s="1">
        <v>88142.9</v>
      </c>
      <c r="DB52" s="1">
        <v>67300</v>
      </c>
      <c r="DC52" s="1">
        <v>67300</v>
      </c>
      <c r="DD52" s="1"/>
      <c r="DE52" s="1"/>
      <c r="DF52" s="1"/>
      <c r="DG52" s="1"/>
      <c r="DH52" s="1"/>
      <c r="DI52" s="1"/>
      <c r="DJ52" s="1">
        <v>27461.599999999999</v>
      </c>
      <c r="DK52" s="1">
        <v>16345</v>
      </c>
      <c r="DL52" s="24"/>
      <c r="DM52" s="24"/>
      <c r="DN52" s="1">
        <v>4645.7</v>
      </c>
      <c r="DO52" s="1"/>
      <c r="DP52" s="2">
        <v>99407.3</v>
      </c>
      <c r="DQ52" s="1">
        <v>83645</v>
      </c>
      <c r="DR52" s="2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2"/>
      <c r="EQ52" s="1">
        <v>4497.8999999999996</v>
      </c>
      <c r="ER52" s="1"/>
      <c r="ES52" s="1">
        <v>4497.8999999999996</v>
      </c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>
        <v>4497.8999999999996</v>
      </c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>
        <v>4497.8999999999996</v>
      </c>
      <c r="GD52" s="1">
        <v>99407.3</v>
      </c>
      <c r="GE52" s="1">
        <v>88142.9</v>
      </c>
    </row>
    <row r="53" spans="1:187" s="3" customFormat="1" x14ac:dyDescent="0.25">
      <c r="A53" s="1">
        <v>20006</v>
      </c>
      <c r="B53" s="1">
        <v>0</v>
      </c>
      <c r="C53" s="3">
        <v>200378039</v>
      </c>
      <c r="D53" s="3" t="s">
        <v>129</v>
      </c>
      <c r="E53" s="4">
        <v>35</v>
      </c>
      <c r="F53" s="4">
        <v>9</v>
      </c>
      <c r="G53" s="4">
        <v>0</v>
      </c>
      <c r="H53" s="4">
        <v>13</v>
      </c>
      <c r="I53" s="1">
        <v>2018</v>
      </c>
      <c r="J53" s="1">
        <v>4</v>
      </c>
      <c r="K53" s="3" t="s">
        <v>0</v>
      </c>
      <c r="L53" s="1">
        <v>2</v>
      </c>
      <c r="M53" s="1">
        <v>30</v>
      </c>
      <c r="N53" s="5">
        <v>0</v>
      </c>
      <c r="O53" s="6">
        <v>43501.461655092593</v>
      </c>
      <c r="P53" s="1">
        <v>164858.29999999999</v>
      </c>
      <c r="Q53" s="1">
        <v>78340</v>
      </c>
      <c r="R53" s="1">
        <v>46326.8</v>
      </c>
      <c r="S53" s="1">
        <v>50608.3</v>
      </c>
      <c r="T53" s="1">
        <v>118531.5</v>
      </c>
      <c r="U53" s="1">
        <v>27731.7</v>
      </c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2">
        <v>118531.5</v>
      </c>
      <c r="AW53" s="1">
        <v>27731.7</v>
      </c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>
        <v>23441.5</v>
      </c>
      <c r="BM53" s="1">
        <v>59931</v>
      </c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>
        <v>57841.3</v>
      </c>
      <c r="BZ53" s="1"/>
      <c r="CA53" s="1">
        <v>2089.6999999999998</v>
      </c>
      <c r="CB53" s="1"/>
      <c r="CC53" s="1"/>
      <c r="CD53" s="1"/>
      <c r="CE53" s="1"/>
      <c r="CF53" s="1"/>
      <c r="CG53" s="1"/>
      <c r="CH53" s="1">
        <v>23441.5</v>
      </c>
      <c r="CI53" s="1"/>
      <c r="CJ53" s="1">
        <v>24830</v>
      </c>
      <c r="CK53" s="1">
        <v>11744.6</v>
      </c>
      <c r="CL53" s="1"/>
      <c r="CM53" s="1"/>
      <c r="CN53" s="1">
        <v>24830</v>
      </c>
      <c r="CO53" s="1">
        <v>11744.6</v>
      </c>
      <c r="CP53" s="1"/>
      <c r="CQ53" s="1"/>
      <c r="CR53" s="1"/>
      <c r="CS53" s="1"/>
      <c r="CT53" s="1"/>
      <c r="CU53" s="1"/>
      <c r="CV53" s="1"/>
      <c r="CW53" s="1"/>
      <c r="CX53" s="2">
        <v>48271.5</v>
      </c>
      <c r="CY53" s="1">
        <v>71675.600000000006</v>
      </c>
      <c r="CZ53" s="1">
        <v>166803</v>
      </c>
      <c r="DA53" s="1">
        <v>99407.3</v>
      </c>
      <c r="DB53" s="1">
        <v>67300</v>
      </c>
      <c r="DC53" s="1">
        <v>67300</v>
      </c>
      <c r="DD53" s="1">
        <v>35000</v>
      </c>
      <c r="DE53" s="1"/>
      <c r="DF53" s="1">
        <v>38547.1</v>
      </c>
      <c r="DG53" s="1"/>
      <c r="DH53" s="1"/>
      <c r="DI53" s="1"/>
      <c r="DJ53" s="1">
        <v>24011.599999999999</v>
      </c>
      <c r="DK53" s="1">
        <v>27461.599999999999</v>
      </c>
      <c r="DL53" s="24"/>
      <c r="DM53" s="24"/>
      <c r="DN53" s="1"/>
      <c r="DO53" s="1">
        <v>4645.7</v>
      </c>
      <c r="DP53" s="2">
        <v>164858.70000000001</v>
      </c>
      <c r="DQ53" s="1">
        <v>99407.3</v>
      </c>
      <c r="DR53" s="2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2">
        <v>1944.3</v>
      </c>
      <c r="EQ53" s="1"/>
      <c r="ER53" s="1">
        <v>1944.3</v>
      </c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>
        <v>1944.3</v>
      </c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>
        <v>1944.3</v>
      </c>
      <c r="GC53" s="1"/>
      <c r="GD53" s="1">
        <v>166803</v>
      </c>
      <c r="GE53" s="1">
        <v>99407.3</v>
      </c>
    </row>
    <row r="54" spans="1:187" s="3" customFormat="1" ht="12" x14ac:dyDescent="0.2">
      <c r="A54" s="1">
        <v>20006</v>
      </c>
      <c r="B54" s="1">
        <v>0</v>
      </c>
      <c r="C54" s="1">
        <v>200383721</v>
      </c>
      <c r="D54" s="1" t="s">
        <v>130</v>
      </c>
      <c r="E54" s="1">
        <v>35</v>
      </c>
      <c r="F54" s="1">
        <v>12</v>
      </c>
      <c r="G54" s="1">
        <v>0</v>
      </c>
      <c r="H54" s="1">
        <v>1</v>
      </c>
      <c r="I54" s="1">
        <v>2021</v>
      </c>
      <c r="J54" s="1">
        <v>4</v>
      </c>
      <c r="K54" s="1" t="s">
        <v>0</v>
      </c>
      <c r="L54" s="1">
        <v>2</v>
      </c>
      <c r="M54" s="1">
        <v>30</v>
      </c>
      <c r="N54" s="1">
        <v>0</v>
      </c>
      <c r="O54" s="1">
        <v>44644.41605324074</v>
      </c>
      <c r="P54" s="1">
        <v>11759499</v>
      </c>
      <c r="Q54" s="1">
        <v>12381541</v>
      </c>
      <c r="R54" s="1">
        <v>3082349</v>
      </c>
      <c r="S54" s="1">
        <v>3698196</v>
      </c>
      <c r="T54" s="1">
        <v>8677150</v>
      </c>
      <c r="U54" s="1">
        <v>8683345</v>
      </c>
      <c r="V54" s="1"/>
      <c r="W54" s="1"/>
      <c r="X54" s="1"/>
      <c r="Y54" s="1"/>
      <c r="Z54" s="1"/>
      <c r="AA54" s="1"/>
      <c r="AB54" s="1">
        <v>1056517</v>
      </c>
      <c r="AC54" s="1">
        <v>434659</v>
      </c>
      <c r="AD54" s="1">
        <v>40596</v>
      </c>
      <c r="AE54" s="1">
        <v>40596</v>
      </c>
      <c r="AF54" s="1"/>
      <c r="AG54" s="1"/>
      <c r="AH54" s="1">
        <v>1004921</v>
      </c>
      <c r="AI54" s="1">
        <v>383063</v>
      </c>
      <c r="AJ54" s="1"/>
      <c r="AK54" s="1"/>
      <c r="AL54" s="1">
        <v>11000</v>
      </c>
      <c r="AM54" s="1">
        <v>11000</v>
      </c>
      <c r="AN54" s="1"/>
      <c r="AO54" s="1"/>
      <c r="AP54" s="1">
        <v>541025</v>
      </c>
      <c r="AQ54" s="1"/>
      <c r="AR54" s="1"/>
      <c r="AS54" s="1"/>
      <c r="AT54" s="1"/>
      <c r="AU54" s="1"/>
      <c r="AV54" s="2">
        <v>10274692</v>
      </c>
      <c r="AW54" s="1">
        <v>9118004</v>
      </c>
      <c r="AX54" s="1">
        <v>25356337</v>
      </c>
      <c r="AY54" s="1">
        <v>30450334.739999998</v>
      </c>
      <c r="AZ54" s="1">
        <v>23038561</v>
      </c>
      <c r="BA54" s="1">
        <v>28140993</v>
      </c>
      <c r="BB54" s="1"/>
      <c r="BC54" s="1"/>
      <c r="BD54" s="1">
        <v>2317776</v>
      </c>
      <c r="BE54" s="1">
        <v>2309341.7400000002</v>
      </c>
      <c r="BF54" s="1"/>
      <c r="BG54" s="1"/>
      <c r="BH54" s="1"/>
      <c r="BI54" s="1"/>
      <c r="BJ54" s="1"/>
      <c r="BK54" s="1"/>
      <c r="BL54" s="1">
        <v>20940766</v>
      </c>
      <c r="BM54" s="1">
        <v>17117765.260000002</v>
      </c>
      <c r="BN54" s="1"/>
      <c r="BO54" s="1"/>
      <c r="BP54" s="1">
        <v>4540296</v>
      </c>
      <c r="BQ54" s="1">
        <v>3764801</v>
      </c>
      <c r="BR54" s="1"/>
      <c r="BS54" s="1"/>
      <c r="BT54" s="1">
        <v>1097105</v>
      </c>
      <c r="BU54" s="1">
        <v>198441</v>
      </c>
      <c r="BV54" s="1">
        <v>1300</v>
      </c>
      <c r="BW54" s="1">
        <v>334</v>
      </c>
      <c r="BX54" s="1">
        <v>14901622</v>
      </c>
      <c r="BY54" s="1">
        <v>12771859.26</v>
      </c>
      <c r="BZ54" s="1">
        <v>15622</v>
      </c>
      <c r="CA54" s="1">
        <v>11247</v>
      </c>
      <c r="CB54" s="1">
        <v>54</v>
      </c>
      <c r="CC54" s="1"/>
      <c r="CD54" s="1">
        <v>211657</v>
      </c>
      <c r="CE54" s="1">
        <v>211657</v>
      </c>
      <c r="CF54" s="1">
        <v>173110</v>
      </c>
      <c r="CG54" s="1">
        <v>159426</v>
      </c>
      <c r="CH54" s="1"/>
      <c r="CI54" s="1"/>
      <c r="CJ54" s="1">
        <v>48354</v>
      </c>
      <c r="CK54" s="1">
        <v>142220</v>
      </c>
      <c r="CL54" s="1"/>
      <c r="CM54" s="1"/>
      <c r="CN54" s="1">
        <v>35005</v>
      </c>
      <c r="CO54" s="1">
        <v>57877</v>
      </c>
      <c r="CP54" s="1"/>
      <c r="CQ54" s="1"/>
      <c r="CR54" s="1">
        <v>13349</v>
      </c>
      <c r="CS54" s="1">
        <v>84343</v>
      </c>
      <c r="CT54" s="1"/>
      <c r="CU54" s="1"/>
      <c r="CV54" s="1">
        <v>1164438</v>
      </c>
      <c r="CW54" s="1">
        <v>1164438</v>
      </c>
      <c r="CX54" s="2">
        <v>47509895</v>
      </c>
      <c r="CY54" s="1">
        <v>48874758</v>
      </c>
      <c r="CZ54" s="1">
        <v>57784587</v>
      </c>
      <c r="DA54" s="1">
        <v>57992762</v>
      </c>
      <c r="DB54" s="1">
        <v>1294661</v>
      </c>
      <c r="DC54" s="1">
        <v>1294661</v>
      </c>
      <c r="DD54" s="1">
        <v>51074</v>
      </c>
      <c r="DE54" s="1">
        <v>51074</v>
      </c>
      <c r="DF54" s="1">
        <v>5392329</v>
      </c>
      <c r="DG54" s="1">
        <v>5392329</v>
      </c>
      <c r="DH54" s="1"/>
      <c r="DI54" s="1"/>
      <c r="DJ54" s="1">
        <v>-9634288</v>
      </c>
      <c r="DK54" s="1">
        <v>-9534939</v>
      </c>
      <c r="DL54" s="24"/>
      <c r="DM54" s="24"/>
      <c r="DN54" s="1"/>
      <c r="DO54" s="1"/>
      <c r="DP54" s="2">
        <v>-2896224</v>
      </c>
      <c r="DQ54" s="1">
        <v>-2796875</v>
      </c>
      <c r="DR54" s="2">
        <v>1770386</v>
      </c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>
        <v>1770386</v>
      </c>
      <c r="EK54" s="1"/>
      <c r="EL54" s="1"/>
      <c r="EM54" s="1"/>
      <c r="EN54" s="1"/>
      <c r="EO54" s="1"/>
      <c r="EP54" s="2">
        <v>58910425</v>
      </c>
      <c r="EQ54" s="1">
        <v>60789637</v>
      </c>
      <c r="ER54" s="1">
        <v>5790808</v>
      </c>
      <c r="ES54" s="1">
        <v>4622131</v>
      </c>
      <c r="ET54" s="1"/>
      <c r="EU54" s="1"/>
      <c r="EV54" s="1">
        <v>794979</v>
      </c>
      <c r="EW54" s="1">
        <v>769538</v>
      </c>
      <c r="EX54" s="1"/>
      <c r="EY54" s="1"/>
      <c r="EZ54" s="1">
        <v>4071662</v>
      </c>
      <c r="FA54" s="1">
        <v>2091378</v>
      </c>
      <c r="FB54" s="1"/>
      <c r="FC54" s="1"/>
      <c r="FD54" s="1"/>
      <c r="FE54" s="1"/>
      <c r="FF54" s="1"/>
      <c r="FG54" s="1"/>
      <c r="FH54" s="1"/>
      <c r="FI54" s="1"/>
      <c r="FJ54" s="1">
        <v>591345</v>
      </c>
      <c r="FK54" s="1">
        <v>1144510</v>
      </c>
      <c r="FL54" s="1"/>
      <c r="FM54" s="1"/>
      <c r="FN54" s="1">
        <v>94858</v>
      </c>
      <c r="FO54" s="1">
        <v>391495</v>
      </c>
      <c r="FP54" s="1">
        <v>23611</v>
      </c>
      <c r="FQ54" s="1">
        <v>23611</v>
      </c>
      <c r="FR54" s="1">
        <v>214353</v>
      </c>
      <c r="FS54" s="1">
        <v>201599</v>
      </c>
      <c r="FT54" s="1">
        <v>6004840</v>
      </c>
      <c r="FU54" s="1">
        <v>4312710</v>
      </c>
      <c r="FV54" s="1">
        <v>47114777</v>
      </c>
      <c r="FW54" s="1">
        <v>51854796</v>
      </c>
      <c r="FX54" s="1"/>
      <c r="FY54" s="1"/>
      <c r="FZ54" s="1"/>
      <c r="GA54" s="1"/>
      <c r="GB54" s="1">
        <v>60680811</v>
      </c>
      <c r="GC54" s="1">
        <v>60789637</v>
      </c>
      <c r="GD54" s="1">
        <v>57784587</v>
      </c>
      <c r="GE54" s="1">
        <v>57992762</v>
      </c>
    </row>
    <row r="55" spans="1:187" s="3" customFormat="1" ht="12" x14ac:dyDescent="0.2">
      <c r="A55" s="1">
        <v>20006</v>
      </c>
      <c r="B55" s="1">
        <v>0</v>
      </c>
      <c r="C55" s="1">
        <v>200383721</v>
      </c>
      <c r="D55" s="1" t="s">
        <v>130</v>
      </c>
      <c r="E55" s="1">
        <v>35</v>
      </c>
      <c r="F55" s="1">
        <v>12</v>
      </c>
      <c r="G55" s="1">
        <v>0</v>
      </c>
      <c r="H55" s="1">
        <v>1</v>
      </c>
      <c r="I55" s="1">
        <v>2020</v>
      </c>
      <c r="J55" s="1">
        <v>4</v>
      </c>
      <c r="K55" s="1" t="s">
        <v>0</v>
      </c>
      <c r="L55" s="1">
        <v>2</v>
      </c>
      <c r="M55" s="1">
        <v>30</v>
      </c>
      <c r="N55" s="1">
        <v>0</v>
      </c>
      <c r="O55" s="1">
        <v>44258.489675925928</v>
      </c>
      <c r="P55" s="1">
        <v>11557219</v>
      </c>
      <c r="Q55" s="1">
        <v>11759499</v>
      </c>
      <c r="R55" s="1">
        <v>2502538</v>
      </c>
      <c r="S55" s="1">
        <v>3082349</v>
      </c>
      <c r="T55" s="1">
        <v>9054681</v>
      </c>
      <c r="U55" s="1">
        <v>8677150</v>
      </c>
      <c r="V55" s="1"/>
      <c r="W55" s="1"/>
      <c r="X55" s="1"/>
      <c r="Y55" s="1"/>
      <c r="Z55" s="1"/>
      <c r="AA55" s="1"/>
      <c r="AB55" s="1">
        <v>1056517</v>
      </c>
      <c r="AC55" s="1">
        <v>1056517</v>
      </c>
      <c r="AD55" s="1">
        <v>40596</v>
      </c>
      <c r="AE55" s="1">
        <v>40596</v>
      </c>
      <c r="AF55" s="1"/>
      <c r="AG55" s="1"/>
      <c r="AH55" s="1">
        <v>1004921</v>
      </c>
      <c r="AI55" s="1">
        <v>1004921</v>
      </c>
      <c r="AJ55" s="1"/>
      <c r="AK55" s="1"/>
      <c r="AL55" s="1">
        <v>11000</v>
      </c>
      <c r="AM55" s="1">
        <v>11000</v>
      </c>
      <c r="AN55" s="1"/>
      <c r="AO55" s="1"/>
      <c r="AP55" s="1"/>
      <c r="AQ55" s="1">
        <v>541025</v>
      </c>
      <c r="AR55" s="1"/>
      <c r="AS55" s="1"/>
      <c r="AT55" s="1"/>
      <c r="AU55" s="1"/>
      <c r="AV55" s="2">
        <v>10111198</v>
      </c>
      <c r="AW55" s="1">
        <v>10274692</v>
      </c>
      <c r="AX55" s="1">
        <v>24227714</v>
      </c>
      <c r="AY55" s="1">
        <v>25356337</v>
      </c>
      <c r="AZ55" s="1">
        <v>20775824</v>
      </c>
      <c r="BA55" s="1">
        <v>23038561</v>
      </c>
      <c r="BB55" s="1"/>
      <c r="BC55" s="1"/>
      <c r="BD55" s="1">
        <v>3451890</v>
      </c>
      <c r="BE55" s="1">
        <v>2317776</v>
      </c>
      <c r="BF55" s="1"/>
      <c r="BG55" s="1"/>
      <c r="BH55" s="1"/>
      <c r="BI55" s="1"/>
      <c r="BJ55" s="1"/>
      <c r="BK55" s="1"/>
      <c r="BL55" s="1">
        <v>16416091</v>
      </c>
      <c r="BM55" s="1">
        <v>20940766</v>
      </c>
      <c r="BN55" s="1"/>
      <c r="BO55" s="1"/>
      <c r="BP55" s="1">
        <v>2867699</v>
      </c>
      <c r="BQ55" s="1">
        <v>4540296</v>
      </c>
      <c r="BR55" s="1"/>
      <c r="BS55" s="1"/>
      <c r="BT55" s="1">
        <v>280983</v>
      </c>
      <c r="BU55" s="1">
        <v>1097105</v>
      </c>
      <c r="BV55" s="1">
        <v>9608</v>
      </c>
      <c r="BW55" s="1">
        <v>1300</v>
      </c>
      <c r="BX55" s="1">
        <v>12796045</v>
      </c>
      <c r="BY55" s="1">
        <v>14901622</v>
      </c>
      <c r="BZ55" s="1">
        <v>31522</v>
      </c>
      <c r="CA55" s="1">
        <v>15622</v>
      </c>
      <c r="CB55" s="1"/>
      <c r="CC55" s="1">
        <v>54</v>
      </c>
      <c r="CD55" s="1">
        <v>211657</v>
      </c>
      <c r="CE55" s="1">
        <v>211657</v>
      </c>
      <c r="CF55" s="1">
        <v>218577</v>
      </c>
      <c r="CG55" s="1">
        <v>173110</v>
      </c>
      <c r="CH55" s="1"/>
      <c r="CI55" s="1"/>
      <c r="CJ55" s="1">
        <v>23731</v>
      </c>
      <c r="CK55" s="1">
        <v>48354</v>
      </c>
      <c r="CL55" s="1"/>
      <c r="CM55" s="1"/>
      <c r="CN55" s="1">
        <v>4787</v>
      </c>
      <c r="CO55" s="1">
        <v>35005</v>
      </c>
      <c r="CP55" s="1"/>
      <c r="CQ55" s="1"/>
      <c r="CR55" s="1">
        <v>18944</v>
      </c>
      <c r="CS55" s="1">
        <v>13349</v>
      </c>
      <c r="CT55" s="1"/>
      <c r="CU55" s="1"/>
      <c r="CV55" s="1">
        <v>1164438</v>
      </c>
      <c r="CW55" s="1">
        <v>1164438</v>
      </c>
      <c r="CX55" s="2">
        <v>41831974</v>
      </c>
      <c r="CY55" s="1">
        <v>47509895</v>
      </c>
      <c r="CZ55" s="1">
        <v>51943172</v>
      </c>
      <c r="DA55" s="1">
        <v>57784587</v>
      </c>
      <c r="DB55" s="1">
        <v>1294661</v>
      </c>
      <c r="DC55" s="1">
        <v>1294661</v>
      </c>
      <c r="DD55" s="1">
        <v>51074</v>
      </c>
      <c r="DE55" s="1">
        <v>51074</v>
      </c>
      <c r="DF55" s="1">
        <v>5392329</v>
      </c>
      <c r="DG55" s="1">
        <v>5392329</v>
      </c>
      <c r="DH55" s="1"/>
      <c r="DI55" s="1"/>
      <c r="DJ55" s="1">
        <v>-9725286</v>
      </c>
      <c r="DK55" s="1">
        <v>-9634288</v>
      </c>
      <c r="DL55" s="24"/>
      <c r="DM55" s="24"/>
      <c r="DN55" s="1"/>
      <c r="DO55" s="1"/>
      <c r="DP55" s="2">
        <v>-2987222</v>
      </c>
      <c r="DQ55" s="1">
        <v>-2896224</v>
      </c>
      <c r="DR55" s="2">
        <v>2624902</v>
      </c>
      <c r="DS55" s="1">
        <v>1770386</v>
      </c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>
        <v>2624902</v>
      </c>
      <c r="EK55" s="1">
        <v>1770386</v>
      </c>
      <c r="EL55" s="1"/>
      <c r="EM55" s="1"/>
      <c r="EN55" s="1"/>
      <c r="EO55" s="1"/>
      <c r="EP55" s="2">
        <v>52305496</v>
      </c>
      <c r="EQ55" s="1">
        <v>58910425</v>
      </c>
      <c r="ER55" s="1">
        <v>6697549</v>
      </c>
      <c r="ES55" s="1">
        <v>5790808</v>
      </c>
      <c r="ET55" s="1"/>
      <c r="EU55" s="1"/>
      <c r="EV55" s="1">
        <v>1860245</v>
      </c>
      <c r="EW55" s="1">
        <v>794979</v>
      </c>
      <c r="EX55" s="1"/>
      <c r="EY55" s="1"/>
      <c r="EZ55" s="1">
        <v>2865575</v>
      </c>
      <c r="FA55" s="1">
        <v>4071662</v>
      </c>
      <c r="FB55" s="1"/>
      <c r="FC55" s="1"/>
      <c r="FD55" s="1"/>
      <c r="FE55" s="1"/>
      <c r="FF55" s="1"/>
      <c r="FG55" s="1"/>
      <c r="FH55" s="1"/>
      <c r="FI55" s="1"/>
      <c r="FJ55" s="1">
        <v>796340</v>
      </c>
      <c r="FK55" s="1">
        <v>591345</v>
      </c>
      <c r="FL55" s="1"/>
      <c r="FM55" s="1"/>
      <c r="FN55" s="1">
        <v>586138</v>
      </c>
      <c r="FO55" s="1">
        <v>94858</v>
      </c>
      <c r="FP55" s="1">
        <v>23688</v>
      </c>
      <c r="FQ55" s="1">
        <v>23611</v>
      </c>
      <c r="FR55" s="1">
        <v>512427</v>
      </c>
      <c r="FS55" s="1">
        <v>214353</v>
      </c>
      <c r="FT55" s="1">
        <v>8124723</v>
      </c>
      <c r="FU55" s="1">
        <v>6004840</v>
      </c>
      <c r="FV55" s="1">
        <v>37483224</v>
      </c>
      <c r="FW55" s="1">
        <v>47114777</v>
      </c>
      <c r="FX55" s="1"/>
      <c r="FY55" s="1"/>
      <c r="FZ55" s="1">
        <v>53136</v>
      </c>
      <c r="GA55" s="1"/>
      <c r="GB55" s="1">
        <v>54930398</v>
      </c>
      <c r="GC55" s="1">
        <v>60680811</v>
      </c>
      <c r="GD55" s="1">
        <v>51943176</v>
      </c>
      <c r="GE55" s="1">
        <v>57784587</v>
      </c>
    </row>
    <row r="56" spans="1:187" s="3" customFormat="1" ht="12" x14ac:dyDescent="0.2">
      <c r="A56" s="1">
        <v>20006</v>
      </c>
      <c r="B56" s="1">
        <v>0</v>
      </c>
      <c r="C56" s="1">
        <v>200383721</v>
      </c>
      <c r="D56" s="1" t="s">
        <v>130</v>
      </c>
      <c r="E56" s="1">
        <v>35</v>
      </c>
      <c r="F56" s="1">
        <v>12</v>
      </c>
      <c r="G56" s="1">
        <v>0</v>
      </c>
      <c r="H56" s="1">
        <v>1</v>
      </c>
      <c r="I56" s="1">
        <v>2019</v>
      </c>
      <c r="J56" s="1">
        <v>4</v>
      </c>
      <c r="K56" s="1" t="s">
        <v>0</v>
      </c>
      <c r="L56" s="1">
        <v>2</v>
      </c>
      <c r="M56" s="1">
        <v>30</v>
      </c>
      <c r="N56" s="1">
        <v>0</v>
      </c>
      <c r="O56" s="1">
        <v>43951.435173611113</v>
      </c>
      <c r="P56" s="1">
        <v>11082482</v>
      </c>
      <c r="Q56" s="1">
        <v>10965525</v>
      </c>
      <c r="R56" s="1">
        <v>2389176</v>
      </c>
      <c r="S56" s="1">
        <v>2798240</v>
      </c>
      <c r="T56" s="1">
        <v>8693306</v>
      </c>
      <c r="U56" s="1">
        <v>8167285</v>
      </c>
      <c r="V56" s="1"/>
      <c r="W56" s="1"/>
      <c r="X56" s="1"/>
      <c r="Y56" s="1"/>
      <c r="Z56" s="1"/>
      <c r="AA56" s="1"/>
      <c r="AB56" s="1">
        <v>1230108</v>
      </c>
      <c r="AC56" s="1">
        <v>1056517</v>
      </c>
      <c r="AD56" s="1">
        <v>40596</v>
      </c>
      <c r="AE56" s="1">
        <v>40596</v>
      </c>
      <c r="AF56" s="1"/>
      <c r="AG56" s="1"/>
      <c r="AH56" s="1">
        <v>1178512</v>
      </c>
      <c r="AI56" s="1">
        <v>1004921</v>
      </c>
      <c r="AJ56" s="1"/>
      <c r="AK56" s="1"/>
      <c r="AL56" s="1">
        <v>11000</v>
      </c>
      <c r="AM56" s="1">
        <v>11000</v>
      </c>
      <c r="AN56" s="1"/>
      <c r="AO56" s="1"/>
      <c r="AP56" s="1"/>
      <c r="AQ56" s="1"/>
      <c r="AR56" s="1"/>
      <c r="AS56" s="1"/>
      <c r="AT56" s="1"/>
      <c r="AU56" s="1"/>
      <c r="AV56" s="2">
        <v>9923414</v>
      </c>
      <c r="AW56" s="1">
        <v>9223802</v>
      </c>
      <c r="AX56" s="1">
        <v>17260868</v>
      </c>
      <c r="AY56" s="1">
        <v>24227714</v>
      </c>
      <c r="AZ56" s="1">
        <v>16336265</v>
      </c>
      <c r="BA56" s="1">
        <v>20775824</v>
      </c>
      <c r="BB56" s="1"/>
      <c r="BC56" s="1"/>
      <c r="BD56" s="1">
        <v>924603</v>
      </c>
      <c r="BE56" s="1">
        <v>3451890</v>
      </c>
      <c r="BF56" s="1"/>
      <c r="BG56" s="1"/>
      <c r="BH56" s="1"/>
      <c r="BI56" s="1"/>
      <c r="BJ56" s="1"/>
      <c r="BK56" s="1"/>
      <c r="BL56" s="1">
        <v>14821454</v>
      </c>
      <c r="BM56" s="1">
        <v>16416091</v>
      </c>
      <c r="BN56" s="1"/>
      <c r="BO56" s="1"/>
      <c r="BP56" s="1">
        <v>2850376</v>
      </c>
      <c r="BQ56" s="1">
        <v>2867699</v>
      </c>
      <c r="BR56" s="1"/>
      <c r="BS56" s="1"/>
      <c r="BT56" s="1">
        <v>837308</v>
      </c>
      <c r="BU56" s="1">
        <v>280983</v>
      </c>
      <c r="BV56" s="1">
        <v>11582</v>
      </c>
      <c r="BW56" s="1">
        <v>9608</v>
      </c>
      <c r="BX56" s="1">
        <v>10648369</v>
      </c>
      <c r="BY56" s="1">
        <v>12796045</v>
      </c>
      <c r="BZ56" s="1"/>
      <c r="CA56" s="1">
        <v>31522</v>
      </c>
      <c r="CB56" s="1"/>
      <c r="CC56" s="1"/>
      <c r="CD56" s="1">
        <v>211657</v>
      </c>
      <c r="CE56" s="1">
        <v>211657</v>
      </c>
      <c r="CF56" s="1">
        <v>262162</v>
      </c>
      <c r="CG56" s="1">
        <v>218577</v>
      </c>
      <c r="CH56" s="1"/>
      <c r="CI56" s="1"/>
      <c r="CJ56" s="1">
        <v>712691</v>
      </c>
      <c r="CK56" s="1">
        <v>23731</v>
      </c>
      <c r="CL56" s="1"/>
      <c r="CM56" s="1"/>
      <c r="CN56" s="1">
        <v>15252</v>
      </c>
      <c r="CO56" s="1">
        <v>4787</v>
      </c>
      <c r="CP56" s="1"/>
      <c r="CQ56" s="1"/>
      <c r="CR56" s="1">
        <v>697439</v>
      </c>
      <c r="CS56" s="1">
        <v>18944</v>
      </c>
      <c r="CT56" s="1"/>
      <c r="CU56" s="1"/>
      <c r="CV56" s="1">
        <v>1164438</v>
      </c>
      <c r="CW56" s="1">
        <v>1164438</v>
      </c>
      <c r="CX56" s="2">
        <v>33959451</v>
      </c>
      <c r="CY56" s="1">
        <v>41831974</v>
      </c>
      <c r="CZ56" s="1">
        <v>43882865</v>
      </c>
      <c r="DA56" s="1">
        <v>51055776</v>
      </c>
      <c r="DB56" s="1">
        <v>1294661</v>
      </c>
      <c r="DC56" s="1">
        <v>1294661</v>
      </c>
      <c r="DD56" s="1">
        <v>51074</v>
      </c>
      <c r="DE56" s="1">
        <v>51074</v>
      </c>
      <c r="DF56" s="1">
        <v>4504932</v>
      </c>
      <c r="DG56" s="1">
        <v>4504932</v>
      </c>
      <c r="DH56" s="1"/>
      <c r="DI56" s="1"/>
      <c r="DJ56" s="1">
        <v>-10313909</v>
      </c>
      <c r="DK56" s="1">
        <v>-9725289</v>
      </c>
      <c r="DL56" s="24"/>
      <c r="DM56" s="24"/>
      <c r="DN56" s="1"/>
      <c r="DO56" s="1"/>
      <c r="DP56" s="2">
        <v>-4463242</v>
      </c>
      <c r="DQ56" s="1">
        <v>-3874622</v>
      </c>
      <c r="DR56" s="2">
        <v>4560502</v>
      </c>
      <c r="DS56" s="1">
        <v>2624902</v>
      </c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>
        <v>4560502</v>
      </c>
      <c r="EK56" s="1">
        <v>2624902</v>
      </c>
      <c r="EL56" s="1"/>
      <c r="EM56" s="1"/>
      <c r="EN56" s="1"/>
      <c r="EO56" s="1"/>
      <c r="EP56" s="2">
        <v>43785605</v>
      </c>
      <c r="EQ56" s="1">
        <v>52305496</v>
      </c>
      <c r="ER56" s="1">
        <v>15348023</v>
      </c>
      <c r="ES56" s="1">
        <v>6697549</v>
      </c>
      <c r="ET56" s="1"/>
      <c r="EU56" s="1"/>
      <c r="EV56" s="1">
        <v>3025792</v>
      </c>
      <c r="EW56" s="1">
        <v>1860245</v>
      </c>
      <c r="EX56" s="1"/>
      <c r="EY56" s="1"/>
      <c r="EZ56" s="1">
        <v>5819780</v>
      </c>
      <c r="FA56" s="1">
        <v>2865575</v>
      </c>
      <c r="FB56" s="1"/>
      <c r="FC56" s="1"/>
      <c r="FD56" s="1"/>
      <c r="FE56" s="1"/>
      <c r="FF56" s="1"/>
      <c r="FG56" s="1"/>
      <c r="FH56" s="1"/>
      <c r="FI56" s="1"/>
      <c r="FJ56" s="1">
        <v>4745945</v>
      </c>
      <c r="FK56" s="1">
        <v>796340</v>
      </c>
      <c r="FL56" s="1"/>
      <c r="FM56" s="1"/>
      <c r="FN56" s="1">
        <v>1462868</v>
      </c>
      <c r="FO56" s="1">
        <v>586138</v>
      </c>
      <c r="FP56" s="1">
        <v>75454</v>
      </c>
      <c r="FQ56" s="1">
        <v>23688</v>
      </c>
      <c r="FR56" s="1">
        <v>218184</v>
      </c>
      <c r="FS56" s="1">
        <v>512427</v>
      </c>
      <c r="FT56" s="1">
        <v>3183949</v>
      </c>
      <c r="FU56" s="1">
        <v>8124723</v>
      </c>
      <c r="FV56" s="1">
        <v>25253633</v>
      </c>
      <c r="FW56" s="1">
        <v>37483224</v>
      </c>
      <c r="FX56" s="1"/>
      <c r="FY56" s="1"/>
      <c r="FZ56" s="1"/>
      <c r="GA56" s="1">
        <v>53136</v>
      </c>
      <c r="GB56" s="1">
        <v>48346107</v>
      </c>
      <c r="GC56" s="1">
        <v>54930398</v>
      </c>
      <c r="GD56" s="1">
        <v>43882865</v>
      </c>
      <c r="GE56" s="1">
        <v>51055776</v>
      </c>
    </row>
    <row r="57" spans="1:187" s="3" customFormat="1" x14ac:dyDescent="0.25">
      <c r="A57" s="1">
        <v>20006</v>
      </c>
      <c r="B57" s="1">
        <v>0</v>
      </c>
      <c r="C57" s="3">
        <v>200383721</v>
      </c>
      <c r="D57" s="3" t="s">
        <v>130</v>
      </c>
      <c r="E57" s="4">
        <v>35</v>
      </c>
      <c r="F57" s="4">
        <v>12</v>
      </c>
      <c r="G57" s="4">
        <v>0</v>
      </c>
      <c r="H57" s="4">
        <v>1</v>
      </c>
      <c r="I57" s="1">
        <v>2018</v>
      </c>
      <c r="J57" s="1">
        <v>4</v>
      </c>
      <c r="K57" s="3" t="s">
        <v>0</v>
      </c>
      <c r="L57" s="1">
        <v>2</v>
      </c>
      <c r="M57" s="1">
        <v>30</v>
      </c>
      <c r="N57" s="5">
        <v>0</v>
      </c>
      <c r="O57" s="6">
        <v>43537.694062499999</v>
      </c>
      <c r="P57" s="1">
        <v>10645834</v>
      </c>
      <c r="Q57" s="1">
        <v>10392759</v>
      </c>
      <c r="R57" s="1">
        <v>1965448</v>
      </c>
      <c r="S57" s="1">
        <v>2239418</v>
      </c>
      <c r="T57" s="1">
        <v>8680386</v>
      </c>
      <c r="U57" s="1">
        <v>8153341</v>
      </c>
      <c r="V57" s="1"/>
      <c r="W57" s="1"/>
      <c r="X57" s="1"/>
      <c r="Y57" s="1"/>
      <c r="Z57" s="1"/>
      <c r="AA57" s="1"/>
      <c r="AB57" s="1">
        <v>428659</v>
      </c>
      <c r="AC57" s="1">
        <v>1230108</v>
      </c>
      <c r="AD57" s="1">
        <v>40596</v>
      </c>
      <c r="AE57" s="1">
        <v>40596</v>
      </c>
      <c r="AF57" s="1"/>
      <c r="AG57" s="1"/>
      <c r="AH57" s="1">
        <v>383063</v>
      </c>
      <c r="AI57" s="1">
        <v>1178512</v>
      </c>
      <c r="AJ57" s="1"/>
      <c r="AK57" s="1"/>
      <c r="AL57" s="1">
        <v>5000</v>
      </c>
      <c r="AM57" s="1">
        <v>11000</v>
      </c>
      <c r="AN57" s="1"/>
      <c r="AO57" s="1"/>
      <c r="AP57" s="1"/>
      <c r="AQ57" s="1"/>
      <c r="AR57" s="1">
        <v>1164438</v>
      </c>
      <c r="AS57" s="1"/>
      <c r="AT57" s="1"/>
      <c r="AU57" s="1"/>
      <c r="AV57" s="2">
        <v>10273483</v>
      </c>
      <c r="AW57" s="1">
        <v>9383449</v>
      </c>
      <c r="AX57" s="1">
        <v>20275453</v>
      </c>
      <c r="AY57" s="1">
        <v>17260868</v>
      </c>
      <c r="AZ57" s="1">
        <v>18467873</v>
      </c>
      <c r="BA57" s="1">
        <v>16336265</v>
      </c>
      <c r="BB57" s="1"/>
      <c r="BC57" s="1"/>
      <c r="BD57" s="1">
        <v>1807580</v>
      </c>
      <c r="BE57" s="1">
        <v>924603</v>
      </c>
      <c r="BF57" s="1"/>
      <c r="BG57" s="1"/>
      <c r="BH57" s="1"/>
      <c r="BI57" s="1"/>
      <c r="BJ57" s="1"/>
      <c r="BK57" s="1"/>
      <c r="BL57" s="1">
        <v>16632561</v>
      </c>
      <c r="BM57" s="1">
        <v>14821454</v>
      </c>
      <c r="BN57" s="1"/>
      <c r="BO57" s="1"/>
      <c r="BP57" s="1">
        <v>2929486</v>
      </c>
      <c r="BQ57" s="1">
        <v>2850376</v>
      </c>
      <c r="BR57" s="1"/>
      <c r="BS57" s="1"/>
      <c r="BT57" s="1">
        <v>716111</v>
      </c>
      <c r="BU57" s="1">
        <v>837308</v>
      </c>
      <c r="BV57" s="1">
        <v>5470</v>
      </c>
      <c r="BW57" s="1">
        <v>11582</v>
      </c>
      <c r="BX57" s="1">
        <v>11820268</v>
      </c>
      <c r="BY57" s="1">
        <v>10648369</v>
      </c>
      <c r="BZ57" s="1">
        <v>195818</v>
      </c>
      <c r="CA57" s="1"/>
      <c r="CB57" s="1">
        <v>464193</v>
      </c>
      <c r="CC57" s="1"/>
      <c r="CD57" s="1">
        <v>211657</v>
      </c>
      <c r="CE57" s="1">
        <v>211657</v>
      </c>
      <c r="CF57" s="1">
        <v>289558</v>
      </c>
      <c r="CG57" s="1">
        <v>262162</v>
      </c>
      <c r="CH57" s="1"/>
      <c r="CI57" s="1"/>
      <c r="CJ57" s="1">
        <v>8379</v>
      </c>
      <c r="CK57" s="1">
        <v>712691</v>
      </c>
      <c r="CL57" s="1"/>
      <c r="CM57" s="1"/>
      <c r="CN57" s="1">
        <v>142</v>
      </c>
      <c r="CO57" s="1">
        <v>15252</v>
      </c>
      <c r="CP57" s="1"/>
      <c r="CQ57" s="1"/>
      <c r="CR57" s="1">
        <v>8237</v>
      </c>
      <c r="CS57" s="1">
        <v>697439</v>
      </c>
      <c r="CT57" s="1"/>
      <c r="CU57" s="1"/>
      <c r="CV57" s="1"/>
      <c r="CW57" s="1">
        <v>1164438</v>
      </c>
      <c r="CX57" s="2">
        <v>36916393</v>
      </c>
      <c r="CY57" s="1">
        <v>33959451</v>
      </c>
      <c r="CZ57" s="1">
        <v>47189876</v>
      </c>
      <c r="DA57" s="1">
        <v>43342900</v>
      </c>
      <c r="DB57" s="1">
        <v>1294661</v>
      </c>
      <c r="DC57" s="1">
        <v>1294661</v>
      </c>
      <c r="DD57" s="1">
        <v>51074</v>
      </c>
      <c r="DE57" s="1">
        <v>51074</v>
      </c>
      <c r="DF57" s="1">
        <v>3964967</v>
      </c>
      <c r="DG57" s="1">
        <v>3964967</v>
      </c>
      <c r="DH57" s="1"/>
      <c r="DI57" s="1"/>
      <c r="DJ57" s="1">
        <v>-10328593</v>
      </c>
      <c r="DK57" s="1">
        <v>-10313909</v>
      </c>
      <c r="DL57" s="24"/>
      <c r="DM57" s="24"/>
      <c r="DN57" s="1"/>
      <c r="DO57" s="1"/>
      <c r="DP57" s="2">
        <v>-5017891</v>
      </c>
      <c r="DQ57" s="1">
        <v>-5003207</v>
      </c>
      <c r="DR57" s="2">
        <v>11797100</v>
      </c>
      <c r="DS57" s="1">
        <v>4560502</v>
      </c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>
        <v>11797100</v>
      </c>
      <c r="EK57" s="1">
        <v>4560502</v>
      </c>
      <c r="EL57" s="1"/>
      <c r="EM57" s="1"/>
      <c r="EN57" s="1"/>
      <c r="EO57" s="1"/>
      <c r="EP57" s="2">
        <v>40410667</v>
      </c>
      <c r="EQ57" s="1">
        <v>43785605</v>
      </c>
      <c r="ER57" s="1">
        <v>15537729</v>
      </c>
      <c r="ES57" s="1">
        <v>15348023</v>
      </c>
      <c r="ET57" s="1"/>
      <c r="EU57" s="1"/>
      <c r="EV57" s="1">
        <v>1903743</v>
      </c>
      <c r="EW57" s="1">
        <v>3025792</v>
      </c>
      <c r="EX57" s="1"/>
      <c r="EY57" s="1"/>
      <c r="EZ57" s="1">
        <v>5245675</v>
      </c>
      <c r="FA57" s="1">
        <v>5819780</v>
      </c>
      <c r="FB57" s="1"/>
      <c r="FC57" s="1"/>
      <c r="FD57" s="1">
        <v>7249632</v>
      </c>
      <c r="FE57" s="1"/>
      <c r="FF57" s="1"/>
      <c r="FG57" s="1"/>
      <c r="FH57" s="1"/>
      <c r="FI57" s="1"/>
      <c r="FJ57" s="1">
        <v>51041</v>
      </c>
      <c r="FK57" s="1">
        <v>4745945</v>
      </c>
      <c r="FL57" s="1"/>
      <c r="FM57" s="1"/>
      <c r="FN57" s="1">
        <v>218660</v>
      </c>
      <c r="FO57" s="1">
        <v>1462868</v>
      </c>
      <c r="FP57" s="1">
        <v>66975</v>
      </c>
      <c r="FQ57" s="1">
        <v>75454</v>
      </c>
      <c r="FR57" s="1">
        <v>802003</v>
      </c>
      <c r="FS57" s="1">
        <v>218184</v>
      </c>
      <c r="FT57" s="1"/>
      <c r="FU57" s="1">
        <v>3183949</v>
      </c>
      <c r="FV57" s="1">
        <v>24872938</v>
      </c>
      <c r="FW57" s="1">
        <v>25253633</v>
      </c>
      <c r="FX57" s="1"/>
      <c r="FY57" s="1"/>
      <c r="FZ57" s="1"/>
      <c r="GA57" s="1"/>
      <c r="GB57" s="1">
        <v>52207767</v>
      </c>
      <c r="GC57" s="1">
        <v>48346107</v>
      </c>
      <c r="GD57" s="1">
        <v>47189876</v>
      </c>
      <c r="GE57" s="1">
        <v>43342900</v>
      </c>
    </row>
    <row r="58" spans="1:187" s="3" customFormat="1" ht="12" x14ac:dyDescent="0.2">
      <c r="A58" s="1">
        <v>20006</v>
      </c>
      <c r="B58" s="1">
        <v>0</v>
      </c>
      <c r="C58" s="1">
        <v>200409204</v>
      </c>
      <c r="D58" s="1" t="s">
        <v>131</v>
      </c>
      <c r="E58" s="1">
        <v>33</v>
      </c>
      <c r="F58" s="1">
        <v>1</v>
      </c>
      <c r="G58" s="1">
        <v>0</v>
      </c>
      <c r="H58" s="1">
        <v>1</v>
      </c>
      <c r="I58" s="1">
        <v>2021</v>
      </c>
      <c r="J58" s="1">
        <v>4</v>
      </c>
      <c r="K58" s="1" t="s">
        <v>0</v>
      </c>
      <c r="L58" s="1">
        <v>1</v>
      </c>
      <c r="M58" s="1">
        <v>30</v>
      </c>
      <c r="N58" s="1">
        <v>0</v>
      </c>
      <c r="O58" s="1">
        <v>44603.592499999999</v>
      </c>
      <c r="P58" s="1">
        <v>5287662</v>
      </c>
      <c r="Q58" s="1">
        <v>5798419</v>
      </c>
      <c r="R58" s="1">
        <v>4106078</v>
      </c>
      <c r="S58" s="1">
        <v>4281553</v>
      </c>
      <c r="T58" s="1">
        <v>1181584</v>
      </c>
      <c r="U58" s="1">
        <v>1516866</v>
      </c>
      <c r="V58" s="1"/>
      <c r="W58" s="1"/>
      <c r="X58" s="1"/>
      <c r="Y58" s="1"/>
      <c r="Z58" s="1"/>
      <c r="AA58" s="1"/>
      <c r="AB58" s="1">
        <v>536581</v>
      </c>
      <c r="AC58" s="1">
        <v>168692</v>
      </c>
      <c r="AD58" s="1">
        <v>138692</v>
      </c>
      <c r="AE58" s="1">
        <v>138692</v>
      </c>
      <c r="AF58" s="1">
        <v>30000</v>
      </c>
      <c r="AG58" s="1">
        <v>30000</v>
      </c>
      <c r="AH58" s="1"/>
      <c r="AI58" s="1"/>
      <c r="AJ58" s="1">
        <v>367889</v>
      </c>
      <c r="AK58" s="1"/>
      <c r="AL58" s="1"/>
      <c r="AM58" s="1"/>
      <c r="AN58" s="1">
        <v>423478</v>
      </c>
      <c r="AO58" s="1">
        <v>180000</v>
      </c>
      <c r="AP58" s="1">
        <v>1261402</v>
      </c>
      <c r="AQ58" s="1">
        <v>1272185</v>
      </c>
      <c r="AR58" s="1"/>
      <c r="AS58" s="1"/>
      <c r="AT58" s="1"/>
      <c r="AU58" s="1"/>
      <c r="AV58" s="2">
        <v>3403045</v>
      </c>
      <c r="AW58" s="1">
        <v>3137743</v>
      </c>
      <c r="AX58" s="1">
        <v>7452181</v>
      </c>
      <c r="AY58" s="1">
        <v>15907592</v>
      </c>
      <c r="AZ58" s="1">
        <v>4990523</v>
      </c>
      <c r="BA58" s="1">
        <v>10409020</v>
      </c>
      <c r="BB58" s="1"/>
      <c r="BC58" s="1"/>
      <c r="BD58" s="1">
        <v>1978315</v>
      </c>
      <c r="BE58" s="1">
        <v>4842778</v>
      </c>
      <c r="BF58" s="1">
        <v>483343</v>
      </c>
      <c r="BG58" s="1">
        <v>655794</v>
      </c>
      <c r="BH58" s="1"/>
      <c r="BI58" s="1"/>
      <c r="BJ58" s="1"/>
      <c r="BK58" s="1">
        <v>1211313</v>
      </c>
      <c r="BL58" s="1">
        <v>1522446</v>
      </c>
      <c r="BM58" s="1">
        <v>8437513</v>
      </c>
      <c r="BN58" s="1"/>
      <c r="BO58" s="1"/>
      <c r="BP58" s="1">
        <v>1062340</v>
      </c>
      <c r="BQ58" s="1">
        <v>6837305</v>
      </c>
      <c r="BR58" s="1"/>
      <c r="BS58" s="1"/>
      <c r="BT58" s="1"/>
      <c r="BU58" s="1"/>
      <c r="BV58" s="1">
        <v>15559</v>
      </c>
      <c r="BW58" s="1">
        <v>8394</v>
      </c>
      <c r="BX58" s="1">
        <v>81328</v>
      </c>
      <c r="BY58" s="1">
        <v>1588813</v>
      </c>
      <c r="BZ58" s="1">
        <v>360968</v>
      </c>
      <c r="CA58" s="1">
        <v>3001</v>
      </c>
      <c r="CB58" s="1">
        <v>2251</v>
      </c>
      <c r="CC58" s="1"/>
      <c r="CD58" s="1"/>
      <c r="CE58" s="1"/>
      <c r="CF58" s="1"/>
      <c r="CG58" s="1"/>
      <c r="CH58" s="1"/>
      <c r="CI58" s="1"/>
      <c r="CJ58" s="1">
        <v>102483</v>
      </c>
      <c r="CK58" s="1">
        <v>154733</v>
      </c>
      <c r="CL58" s="1"/>
      <c r="CM58" s="1"/>
      <c r="CN58" s="1">
        <v>11762</v>
      </c>
      <c r="CO58" s="1">
        <v>51896</v>
      </c>
      <c r="CP58" s="1">
        <v>90721</v>
      </c>
      <c r="CQ58" s="1">
        <v>93839</v>
      </c>
      <c r="CR58" s="1"/>
      <c r="CS58" s="1">
        <v>8998</v>
      </c>
      <c r="CT58" s="1"/>
      <c r="CU58" s="1"/>
      <c r="CV58" s="1"/>
      <c r="CW58" s="1"/>
      <c r="CX58" s="2">
        <v>9077110</v>
      </c>
      <c r="CY58" s="1">
        <v>25711151</v>
      </c>
      <c r="CZ58" s="1">
        <v>12480155</v>
      </c>
      <c r="DA58" s="1">
        <v>28848894</v>
      </c>
      <c r="DB58" s="1">
        <v>650910</v>
      </c>
      <c r="DC58" s="1">
        <v>650910</v>
      </c>
      <c r="DD58" s="1">
        <v>80993</v>
      </c>
      <c r="DE58" s="1">
        <v>80993</v>
      </c>
      <c r="DF58" s="1">
        <v>968017</v>
      </c>
      <c r="DG58" s="1">
        <v>966791</v>
      </c>
      <c r="DH58" s="1"/>
      <c r="DI58" s="1"/>
      <c r="DJ58" s="1">
        <v>6057594</v>
      </c>
      <c r="DK58" s="1">
        <v>7521125</v>
      </c>
      <c r="DL58" s="24"/>
      <c r="DM58" s="24"/>
      <c r="DN58" s="1"/>
      <c r="DO58" s="1"/>
      <c r="DP58" s="2">
        <v>7757514</v>
      </c>
      <c r="DQ58" s="1">
        <v>9219819</v>
      </c>
      <c r="DR58" s="2">
        <v>1792972</v>
      </c>
      <c r="DS58" s="1">
        <v>2000000</v>
      </c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>
        <v>1567972</v>
      </c>
      <c r="EK58" s="1"/>
      <c r="EL58" s="1">
        <v>225000</v>
      </c>
      <c r="EM58" s="1">
        <v>2000000</v>
      </c>
      <c r="EN58" s="1"/>
      <c r="EO58" s="1"/>
      <c r="EP58" s="2">
        <v>2929669</v>
      </c>
      <c r="EQ58" s="1">
        <v>17629075</v>
      </c>
      <c r="ER58" s="1">
        <v>2929669</v>
      </c>
      <c r="ES58" s="1">
        <v>5670903</v>
      </c>
      <c r="ET58" s="1"/>
      <c r="EU58" s="1"/>
      <c r="EV58" s="1">
        <v>2133294</v>
      </c>
      <c r="EW58" s="1">
        <v>2437512</v>
      </c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>
        <v>116585</v>
      </c>
      <c r="FI58" s="1">
        <v>163208</v>
      </c>
      <c r="FJ58" s="1">
        <v>29381</v>
      </c>
      <c r="FK58" s="1">
        <v>482229</v>
      </c>
      <c r="FL58" s="1"/>
      <c r="FM58" s="1"/>
      <c r="FN58" s="1"/>
      <c r="FO58" s="1">
        <v>32392</v>
      </c>
      <c r="FP58" s="1">
        <v>364822</v>
      </c>
      <c r="FQ58" s="1">
        <v>781746</v>
      </c>
      <c r="FR58" s="1">
        <v>202319</v>
      </c>
      <c r="FS58" s="1">
        <v>283461</v>
      </c>
      <c r="FT58" s="1"/>
      <c r="FU58" s="1">
        <v>11958172</v>
      </c>
      <c r="FV58" s="1"/>
      <c r="FW58" s="1"/>
      <c r="FX58" s="1"/>
      <c r="FY58" s="1"/>
      <c r="FZ58" s="1">
        <v>83268</v>
      </c>
      <c r="GA58" s="1">
        <v>1490355</v>
      </c>
      <c r="GB58" s="1">
        <v>4722641</v>
      </c>
      <c r="GC58" s="1">
        <v>19629075</v>
      </c>
      <c r="GD58" s="1">
        <v>12480155</v>
      </c>
      <c r="GE58" s="1">
        <v>28848894</v>
      </c>
    </row>
    <row r="59" spans="1:187" s="3" customFormat="1" ht="12" x14ac:dyDescent="0.2">
      <c r="A59" s="1">
        <v>20006</v>
      </c>
      <c r="B59" s="1">
        <v>0</v>
      </c>
      <c r="C59" s="1">
        <v>200409204</v>
      </c>
      <c r="D59" s="1" t="s">
        <v>131</v>
      </c>
      <c r="E59" s="1">
        <v>33</v>
      </c>
      <c r="F59" s="1">
        <v>1</v>
      </c>
      <c r="G59" s="1">
        <v>0</v>
      </c>
      <c r="H59" s="1">
        <v>1</v>
      </c>
      <c r="I59" s="1">
        <v>2020</v>
      </c>
      <c r="J59" s="1">
        <v>4</v>
      </c>
      <c r="K59" s="1" t="s">
        <v>0</v>
      </c>
      <c r="L59" s="1">
        <v>1</v>
      </c>
      <c r="M59" s="1">
        <v>30</v>
      </c>
      <c r="N59" s="1">
        <v>0</v>
      </c>
      <c r="O59" s="1">
        <v>44239.645775462966</v>
      </c>
      <c r="P59" s="1">
        <v>4749054</v>
      </c>
      <c r="Q59" s="1">
        <v>5287662</v>
      </c>
      <c r="R59" s="1">
        <v>3847905</v>
      </c>
      <c r="S59" s="1">
        <v>4106078</v>
      </c>
      <c r="T59" s="1">
        <v>901149</v>
      </c>
      <c r="U59" s="1">
        <v>1181584</v>
      </c>
      <c r="V59" s="1"/>
      <c r="W59" s="1"/>
      <c r="X59" s="1"/>
      <c r="Y59" s="1"/>
      <c r="Z59" s="1"/>
      <c r="AA59" s="1"/>
      <c r="AB59" s="1">
        <v>536581</v>
      </c>
      <c r="AC59" s="1">
        <v>536581</v>
      </c>
      <c r="AD59" s="1">
        <v>138692</v>
      </c>
      <c r="AE59" s="1">
        <v>138692</v>
      </c>
      <c r="AF59" s="1">
        <v>30000</v>
      </c>
      <c r="AG59" s="1">
        <v>30000</v>
      </c>
      <c r="AH59" s="1"/>
      <c r="AI59" s="1"/>
      <c r="AJ59" s="1">
        <v>367889</v>
      </c>
      <c r="AK59" s="1">
        <v>367889</v>
      </c>
      <c r="AL59" s="1"/>
      <c r="AM59" s="1"/>
      <c r="AN59" s="1">
        <v>243478</v>
      </c>
      <c r="AO59" s="1">
        <v>423478</v>
      </c>
      <c r="AP59" s="1">
        <v>704395</v>
      </c>
      <c r="AQ59" s="1">
        <v>1261402</v>
      </c>
      <c r="AR59" s="1"/>
      <c r="AS59" s="1"/>
      <c r="AT59" s="1"/>
      <c r="AU59" s="1"/>
      <c r="AV59" s="2">
        <v>2385603</v>
      </c>
      <c r="AW59" s="1">
        <v>3403045</v>
      </c>
      <c r="AX59" s="1">
        <v>6734395</v>
      </c>
      <c r="AY59" s="1">
        <v>7452181</v>
      </c>
      <c r="AZ59" s="1">
        <v>4558598</v>
      </c>
      <c r="BA59" s="1">
        <v>4990523</v>
      </c>
      <c r="BB59" s="1"/>
      <c r="BC59" s="1"/>
      <c r="BD59" s="1">
        <v>1549803</v>
      </c>
      <c r="BE59" s="1">
        <v>1978315</v>
      </c>
      <c r="BF59" s="1">
        <v>625994</v>
      </c>
      <c r="BG59" s="1">
        <v>483343</v>
      </c>
      <c r="BH59" s="1"/>
      <c r="BI59" s="1"/>
      <c r="BJ59" s="1"/>
      <c r="BK59" s="1"/>
      <c r="BL59" s="1">
        <v>2506457</v>
      </c>
      <c r="BM59" s="1">
        <v>1522446</v>
      </c>
      <c r="BN59" s="1"/>
      <c r="BO59" s="1"/>
      <c r="BP59" s="1">
        <v>1099700</v>
      </c>
      <c r="BQ59" s="1">
        <v>1062340</v>
      </c>
      <c r="BR59" s="1"/>
      <c r="BS59" s="1"/>
      <c r="BT59" s="1"/>
      <c r="BU59" s="1"/>
      <c r="BV59" s="1">
        <v>7203</v>
      </c>
      <c r="BW59" s="1">
        <v>15559</v>
      </c>
      <c r="BX59" s="1">
        <v>1345021</v>
      </c>
      <c r="BY59" s="1">
        <v>81328</v>
      </c>
      <c r="BZ59" s="1">
        <v>54442</v>
      </c>
      <c r="CA59" s="1">
        <v>360968</v>
      </c>
      <c r="CB59" s="1"/>
      <c r="CC59" s="1">
        <v>2251</v>
      </c>
      <c r="CD59" s="1"/>
      <c r="CE59" s="1"/>
      <c r="CF59" s="1"/>
      <c r="CG59" s="1"/>
      <c r="CH59" s="1">
        <v>91</v>
      </c>
      <c r="CI59" s="1"/>
      <c r="CJ59" s="1">
        <v>120467</v>
      </c>
      <c r="CK59" s="1">
        <v>102483</v>
      </c>
      <c r="CL59" s="1"/>
      <c r="CM59" s="1"/>
      <c r="CN59" s="1">
        <v>113164</v>
      </c>
      <c r="CO59" s="1">
        <v>11762</v>
      </c>
      <c r="CP59" s="1">
        <v>7303</v>
      </c>
      <c r="CQ59" s="1">
        <v>90721</v>
      </c>
      <c r="CR59" s="1"/>
      <c r="CS59" s="1"/>
      <c r="CT59" s="1"/>
      <c r="CU59" s="1"/>
      <c r="CV59" s="1"/>
      <c r="CW59" s="1"/>
      <c r="CX59" s="2">
        <v>9361319</v>
      </c>
      <c r="CY59" s="1">
        <v>9077110</v>
      </c>
      <c r="CZ59" s="1">
        <v>11746922</v>
      </c>
      <c r="DA59" s="1">
        <v>12480155</v>
      </c>
      <c r="DB59" s="1">
        <v>650910</v>
      </c>
      <c r="DC59" s="1">
        <v>650910</v>
      </c>
      <c r="DD59" s="1">
        <v>80993</v>
      </c>
      <c r="DE59" s="1">
        <v>80993</v>
      </c>
      <c r="DF59" s="1">
        <v>907377</v>
      </c>
      <c r="DG59" s="1">
        <v>968017</v>
      </c>
      <c r="DH59" s="1"/>
      <c r="DI59" s="1"/>
      <c r="DJ59" s="1">
        <v>4355181</v>
      </c>
      <c r="DK59" s="1">
        <v>6057594</v>
      </c>
      <c r="DL59" s="24"/>
      <c r="DM59" s="24"/>
      <c r="DN59" s="1"/>
      <c r="DO59" s="1"/>
      <c r="DP59" s="2">
        <v>5994461</v>
      </c>
      <c r="DQ59" s="1">
        <v>7757514</v>
      </c>
      <c r="DR59" s="2">
        <v>4024028</v>
      </c>
      <c r="DS59" s="1">
        <v>1792972</v>
      </c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>
        <v>3031028</v>
      </c>
      <c r="EK59" s="1">
        <v>1567972</v>
      </c>
      <c r="EL59" s="1">
        <v>993000</v>
      </c>
      <c r="EM59" s="1">
        <v>225000</v>
      </c>
      <c r="EN59" s="1"/>
      <c r="EO59" s="1"/>
      <c r="EP59" s="2">
        <v>1728433</v>
      </c>
      <c r="EQ59" s="1">
        <v>2929669</v>
      </c>
      <c r="ER59" s="1">
        <v>1728433</v>
      </c>
      <c r="ES59" s="1">
        <v>2929669</v>
      </c>
      <c r="ET59" s="1"/>
      <c r="EU59" s="1"/>
      <c r="EV59" s="1">
        <v>333447</v>
      </c>
      <c r="EW59" s="1">
        <v>2133294</v>
      </c>
      <c r="EX59" s="1"/>
      <c r="EY59" s="1"/>
      <c r="EZ59" s="1">
        <v>91291</v>
      </c>
      <c r="FA59" s="1"/>
      <c r="FB59" s="1"/>
      <c r="FC59" s="1"/>
      <c r="FD59" s="1"/>
      <c r="FE59" s="1"/>
      <c r="FF59" s="1"/>
      <c r="FG59" s="1"/>
      <c r="FH59" s="1">
        <v>205851</v>
      </c>
      <c r="FI59" s="1">
        <v>116585</v>
      </c>
      <c r="FJ59" s="1">
        <v>103602</v>
      </c>
      <c r="FK59" s="1">
        <v>29381</v>
      </c>
      <c r="FL59" s="1"/>
      <c r="FM59" s="1"/>
      <c r="FN59" s="1">
        <v>28405</v>
      </c>
      <c r="FO59" s="1"/>
      <c r="FP59" s="1">
        <v>636985</v>
      </c>
      <c r="FQ59" s="1">
        <v>364822</v>
      </c>
      <c r="FR59" s="1">
        <v>247844</v>
      </c>
      <c r="FS59" s="1">
        <v>202319</v>
      </c>
      <c r="FT59" s="1"/>
      <c r="FU59" s="1"/>
      <c r="FV59" s="1"/>
      <c r="FW59" s="1"/>
      <c r="FX59" s="1"/>
      <c r="FY59" s="1"/>
      <c r="FZ59" s="1">
        <v>81008</v>
      </c>
      <c r="GA59" s="1">
        <v>83268</v>
      </c>
      <c r="GB59" s="1">
        <v>5752461</v>
      </c>
      <c r="GC59" s="1">
        <v>4722641</v>
      </c>
      <c r="GD59" s="1">
        <v>11746922</v>
      </c>
      <c r="GE59" s="1">
        <v>12480155</v>
      </c>
    </row>
    <row r="60" spans="1:187" s="3" customFormat="1" ht="12" x14ac:dyDescent="0.2">
      <c r="A60" s="1">
        <v>20006</v>
      </c>
      <c r="B60" s="1">
        <v>0</v>
      </c>
      <c r="C60" s="1">
        <v>200409204</v>
      </c>
      <c r="D60" s="1" t="s">
        <v>131</v>
      </c>
      <c r="E60" s="1">
        <v>33</v>
      </c>
      <c r="F60" s="1">
        <v>1</v>
      </c>
      <c r="G60" s="1">
        <v>0</v>
      </c>
      <c r="H60" s="1">
        <v>1</v>
      </c>
      <c r="I60" s="1">
        <v>2019</v>
      </c>
      <c r="J60" s="1">
        <v>4</v>
      </c>
      <c r="K60" s="1" t="s">
        <v>0</v>
      </c>
      <c r="L60" s="1">
        <v>2</v>
      </c>
      <c r="M60" s="1">
        <v>30</v>
      </c>
      <c r="N60" s="1">
        <v>0</v>
      </c>
      <c r="O60" s="1">
        <v>43902.598368055558</v>
      </c>
      <c r="P60" s="1">
        <v>4355015</v>
      </c>
      <c r="Q60" s="1">
        <v>4749054</v>
      </c>
      <c r="R60" s="1">
        <v>3756222</v>
      </c>
      <c r="S60" s="1">
        <v>3847905</v>
      </c>
      <c r="T60" s="1">
        <v>598793</v>
      </c>
      <c r="U60" s="1">
        <v>901149</v>
      </c>
      <c r="V60" s="1"/>
      <c r="W60" s="1"/>
      <c r="X60" s="1"/>
      <c r="Y60" s="1"/>
      <c r="Z60" s="1"/>
      <c r="AA60" s="1"/>
      <c r="AB60" s="1">
        <v>506260</v>
      </c>
      <c r="AC60" s="1">
        <v>536581</v>
      </c>
      <c r="AD60" s="1">
        <v>138371</v>
      </c>
      <c r="AE60" s="1">
        <v>138692</v>
      </c>
      <c r="AF60" s="1"/>
      <c r="AG60" s="1">
        <v>30000</v>
      </c>
      <c r="AH60" s="1"/>
      <c r="AI60" s="1"/>
      <c r="AJ60" s="1">
        <v>367889</v>
      </c>
      <c r="AK60" s="1">
        <v>367889</v>
      </c>
      <c r="AL60" s="1"/>
      <c r="AM60" s="1"/>
      <c r="AN60" s="1"/>
      <c r="AO60" s="1">
        <v>423478</v>
      </c>
      <c r="AP60" s="1"/>
      <c r="AQ60" s="1">
        <v>524395</v>
      </c>
      <c r="AR60" s="1"/>
      <c r="AS60" s="1"/>
      <c r="AT60" s="1"/>
      <c r="AU60" s="1"/>
      <c r="AV60" s="2">
        <v>1105053</v>
      </c>
      <c r="AW60" s="1">
        <v>2385603</v>
      </c>
      <c r="AX60" s="1">
        <v>5287074</v>
      </c>
      <c r="AY60" s="1">
        <v>6734395</v>
      </c>
      <c r="AZ60" s="1">
        <v>4354942</v>
      </c>
      <c r="BA60" s="1">
        <v>4558598</v>
      </c>
      <c r="BB60" s="1"/>
      <c r="BC60" s="1"/>
      <c r="BD60" s="1">
        <v>306138</v>
      </c>
      <c r="BE60" s="1">
        <v>1549803</v>
      </c>
      <c r="BF60" s="1">
        <v>625994</v>
      </c>
      <c r="BG60" s="1">
        <v>625994</v>
      </c>
      <c r="BH60" s="1"/>
      <c r="BI60" s="1"/>
      <c r="BJ60" s="1"/>
      <c r="BK60" s="1"/>
      <c r="BL60" s="1">
        <v>1214986</v>
      </c>
      <c r="BM60" s="1">
        <v>2506457</v>
      </c>
      <c r="BN60" s="1"/>
      <c r="BO60" s="1"/>
      <c r="BP60" s="1">
        <v>1100683</v>
      </c>
      <c r="BQ60" s="1">
        <v>1099700</v>
      </c>
      <c r="BR60" s="1"/>
      <c r="BS60" s="1"/>
      <c r="BT60" s="1"/>
      <c r="BU60" s="1"/>
      <c r="BV60" s="1">
        <v>22074</v>
      </c>
      <c r="BW60" s="1">
        <v>7203</v>
      </c>
      <c r="BX60" s="1">
        <v>28131</v>
      </c>
      <c r="BY60" s="1">
        <v>1345021</v>
      </c>
      <c r="BZ60" s="1">
        <v>36662</v>
      </c>
      <c r="CA60" s="1">
        <v>54442</v>
      </c>
      <c r="CB60" s="1">
        <v>26956</v>
      </c>
      <c r="CC60" s="1"/>
      <c r="CD60" s="1"/>
      <c r="CE60" s="1"/>
      <c r="CF60" s="1"/>
      <c r="CG60" s="1"/>
      <c r="CH60" s="1">
        <v>480</v>
      </c>
      <c r="CI60" s="1">
        <v>91</v>
      </c>
      <c r="CJ60" s="1">
        <v>366301</v>
      </c>
      <c r="CK60" s="1">
        <v>120467</v>
      </c>
      <c r="CL60" s="1"/>
      <c r="CM60" s="1"/>
      <c r="CN60" s="1">
        <v>167092</v>
      </c>
      <c r="CO60" s="1">
        <v>113164</v>
      </c>
      <c r="CP60" s="1">
        <v>126495</v>
      </c>
      <c r="CQ60" s="1">
        <v>7303</v>
      </c>
      <c r="CR60" s="1">
        <v>72714</v>
      </c>
      <c r="CS60" s="1"/>
      <c r="CT60" s="1"/>
      <c r="CU60" s="1"/>
      <c r="CV60" s="1"/>
      <c r="CW60" s="1"/>
      <c r="CX60" s="2">
        <v>6868361</v>
      </c>
      <c r="CY60" s="1">
        <v>9361319</v>
      </c>
      <c r="CZ60" s="1">
        <v>7973414</v>
      </c>
      <c r="DA60" s="1">
        <v>11746922</v>
      </c>
      <c r="DB60" s="1">
        <v>650910</v>
      </c>
      <c r="DC60" s="1">
        <v>650910</v>
      </c>
      <c r="DD60" s="1">
        <v>80993</v>
      </c>
      <c r="DE60" s="1">
        <v>80993</v>
      </c>
      <c r="DF60" s="1">
        <v>907805</v>
      </c>
      <c r="DG60" s="1">
        <v>907377</v>
      </c>
      <c r="DH60" s="1"/>
      <c r="DI60" s="1"/>
      <c r="DJ60" s="1">
        <v>4713434</v>
      </c>
      <c r="DK60" s="1">
        <v>4355181</v>
      </c>
      <c r="DL60" s="24"/>
      <c r="DM60" s="24"/>
      <c r="DN60" s="1"/>
      <c r="DO60" s="1"/>
      <c r="DP60" s="2">
        <v>6353142</v>
      </c>
      <c r="DQ60" s="1">
        <v>5994461</v>
      </c>
      <c r="DR60" s="2"/>
      <c r="DS60" s="1">
        <v>4024028</v>
      </c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>
        <v>3031028</v>
      </c>
      <c r="EL60" s="1"/>
      <c r="EM60" s="1">
        <v>993000</v>
      </c>
      <c r="EN60" s="1"/>
      <c r="EO60" s="1"/>
      <c r="EP60" s="2">
        <v>1620272</v>
      </c>
      <c r="EQ60" s="1">
        <v>1728433</v>
      </c>
      <c r="ER60" s="1">
        <v>1620272</v>
      </c>
      <c r="ES60" s="1">
        <v>1728433</v>
      </c>
      <c r="ET60" s="1"/>
      <c r="EU60" s="1"/>
      <c r="EV60" s="1">
        <v>1284535</v>
      </c>
      <c r="EW60" s="1">
        <v>333447</v>
      </c>
      <c r="EX60" s="1"/>
      <c r="EY60" s="1"/>
      <c r="EZ60" s="1"/>
      <c r="FA60" s="1">
        <v>91291</v>
      </c>
      <c r="FB60" s="1"/>
      <c r="FC60" s="1"/>
      <c r="FD60" s="1"/>
      <c r="FE60" s="1"/>
      <c r="FF60" s="1"/>
      <c r="FG60" s="1"/>
      <c r="FH60" s="1">
        <v>79686</v>
      </c>
      <c r="FI60" s="1">
        <v>205851</v>
      </c>
      <c r="FJ60" s="1">
        <v>14628</v>
      </c>
      <c r="FK60" s="1">
        <v>103602</v>
      </c>
      <c r="FL60" s="1"/>
      <c r="FM60" s="1"/>
      <c r="FN60" s="1">
        <v>3145</v>
      </c>
      <c r="FO60" s="1">
        <v>28405</v>
      </c>
      <c r="FP60" s="1">
        <v>150629</v>
      </c>
      <c r="FQ60" s="1">
        <v>636985</v>
      </c>
      <c r="FR60" s="1">
        <v>65605</v>
      </c>
      <c r="FS60" s="1">
        <v>247844</v>
      </c>
      <c r="FT60" s="1"/>
      <c r="FU60" s="1"/>
      <c r="FV60" s="1"/>
      <c r="FW60" s="1"/>
      <c r="FX60" s="1"/>
      <c r="FY60" s="1"/>
      <c r="FZ60" s="1">
        <v>22044</v>
      </c>
      <c r="GA60" s="1">
        <v>81008</v>
      </c>
      <c r="GB60" s="1">
        <v>1620272</v>
      </c>
      <c r="GC60" s="1">
        <v>5752461</v>
      </c>
      <c r="GD60" s="1">
        <v>7973414</v>
      </c>
      <c r="GE60" s="1">
        <v>11746922</v>
      </c>
    </row>
    <row r="61" spans="1:187" s="3" customFormat="1" x14ac:dyDescent="0.25">
      <c r="A61" s="1">
        <v>20006</v>
      </c>
      <c r="B61" s="1">
        <v>0</v>
      </c>
      <c r="C61" s="3">
        <v>200409204</v>
      </c>
      <c r="D61" s="3" t="s">
        <v>131</v>
      </c>
      <c r="E61" s="4">
        <v>33</v>
      </c>
      <c r="F61" s="4">
        <v>1</v>
      </c>
      <c r="G61" s="4">
        <v>0</v>
      </c>
      <c r="H61" s="4">
        <v>1</v>
      </c>
      <c r="I61" s="1">
        <v>2018</v>
      </c>
      <c r="J61" s="1">
        <v>4</v>
      </c>
      <c r="K61" s="3" t="s">
        <v>0</v>
      </c>
      <c r="L61" s="1">
        <v>1</v>
      </c>
      <c r="M61" s="1">
        <v>30</v>
      </c>
      <c r="N61" s="5">
        <v>0</v>
      </c>
      <c r="O61" s="6">
        <v>43507.70789351852</v>
      </c>
      <c r="P61" s="1">
        <v>3162390</v>
      </c>
      <c r="Q61" s="1">
        <v>3136076</v>
      </c>
      <c r="R61" s="1">
        <v>2659016</v>
      </c>
      <c r="S61" s="1">
        <v>2658433</v>
      </c>
      <c r="T61" s="1">
        <v>503374</v>
      </c>
      <c r="U61" s="1">
        <v>477643</v>
      </c>
      <c r="V61" s="1"/>
      <c r="W61" s="1"/>
      <c r="X61" s="1"/>
      <c r="Y61" s="1"/>
      <c r="Z61" s="1"/>
      <c r="AA61" s="1"/>
      <c r="AB61" s="1">
        <v>382371</v>
      </c>
      <c r="AC61" s="1">
        <v>506260</v>
      </c>
      <c r="AD61" s="1">
        <v>138371</v>
      </c>
      <c r="AE61" s="1">
        <v>138371</v>
      </c>
      <c r="AF61" s="1"/>
      <c r="AG61" s="1"/>
      <c r="AH61" s="1"/>
      <c r="AI61" s="1"/>
      <c r="AJ61" s="1">
        <v>244000</v>
      </c>
      <c r="AK61" s="1">
        <v>367889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2">
        <v>885745</v>
      </c>
      <c r="AW61" s="1">
        <v>983903</v>
      </c>
      <c r="AX61" s="1">
        <v>4369282</v>
      </c>
      <c r="AY61" s="1">
        <v>5287074</v>
      </c>
      <c r="AZ61" s="1">
        <v>2884676</v>
      </c>
      <c r="BA61" s="1">
        <v>4354942</v>
      </c>
      <c r="BB61" s="1"/>
      <c r="BC61" s="1"/>
      <c r="BD61" s="1">
        <v>1446872</v>
      </c>
      <c r="BE61" s="1">
        <v>306138</v>
      </c>
      <c r="BF61" s="1">
        <v>37734</v>
      </c>
      <c r="BG61" s="1">
        <v>625994</v>
      </c>
      <c r="BH61" s="1"/>
      <c r="BI61" s="1"/>
      <c r="BJ61" s="1"/>
      <c r="BK61" s="1"/>
      <c r="BL61" s="1">
        <v>1179835</v>
      </c>
      <c r="BM61" s="1">
        <v>1214986</v>
      </c>
      <c r="BN61" s="1"/>
      <c r="BO61" s="1"/>
      <c r="BP61" s="1">
        <v>516211</v>
      </c>
      <c r="BQ61" s="1">
        <v>1100683</v>
      </c>
      <c r="BR61" s="1"/>
      <c r="BS61" s="1"/>
      <c r="BT61" s="1"/>
      <c r="BU61" s="1"/>
      <c r="BV61" s="1">
        <v>8670</v>
      </c>
      <c r="BW61" s="1">
        <v>22074</v>
      </c>
      <c r="BX61" s="1">
        <v>614545</v>
      </c>
      <c r="BY61" s="1">
        <v>28131</v>
      </c>
      <c r="BZ61" s="1">
        <v>18112</v>
      </c>
      <c r="CA61" s="1">
        <v>36662</v>
      </c>
      <c r="CB61" s="1">
        <v>21817</v>
      </c>
      <c r="CC61" s="1">
        <v>26956</v>
      </c>
      <c r="CD61" s="1"/>
      <c r="CE61" s="1"/>
      <c r="CF61" s="1"/>
      <c r="CG61" s="1"/>
      <c r="CH61" s="1">
        <v>480</v>
      </c>
      <c r="CI61" s="1">
        <v>480</v>
      </c>
      <c r="CJ61" s="1">
        <v>872676</v>
      </c>
      <c r="CK61" s="1">
        <v>366301</v>
      </c>
      <c r="CL61" s="1"/>
      <c r="CM61" s="1"/>
      <c r="CN61" s="1">
        <v>826427</v>
      </c>
      <c r="CO61" s="1">
        <v>167092</v>
      </c>
      <c r="CP61" s="1">
        <v>46249</v>
      </c>
      <c r="CQ61" s="1">
        <v>126495</v>
      </c>
      <c r="CR61" s="1"/>
      <c r="CS61" s="1">
        <v>72714</v>
      </c>
      <c r="CT61" s="1"/>
      <c r="CU61" s="1"/>
      <c r="CV61" s="1"/>
      <c r="CW61" s="1"/>
      <c r="CX61" s="2">
        <v>6421793</v>
      </c>
      <c r="CY61" s="1">
        <v>6868361</v>
      </c>
      <c r="CZ61" s="1">
        <v>7307538</v>
      </c>
      <c r="DA61" s="1">
        <v>7852264</v>
      </c>
      <c r="DB61" s="1">
        <v>650910</v>
      </c>
      <c r="DC61" s="1">
        <v>650910</v>
      </c>
      <c r="DD61" s="1">
        <v>80993</v>
      </c>
      <c r="DE61" s="1">
        <v>80993</v>
      </c>
      <c r="DF61" s="1">
        <v>799181</v>
      </c>
      <c r="DG61" s="1">
        <v>786655</v>
      </c>
      <c r="DH61" s="1"/>
      <c r="DI61" s="1"/>
      <c r="DJ61" s="1">
        <v>2778548</v>
      </c>
      <c r="DK61" s="1">
        <v>4713434</v>
      </c>
      <c r="DL61" s="24"/>
      <c r="DM61" s="24"/>
      <c r="DN61" s="1"/>
      <c r="DO61" s="1"/>
      <c r="DP61" s="2">
        <v>4309632</v>
      </c>
      <c r="DQ61" s="1">
        <v>6231992</v>
      </c>
      <c r="DR61" s="2">
        <v>1940000</v>
      </c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>
        <v>1940000</v>
      </c>
      <c r="EM61" s="1"/>
      <c r="EN61" s="1"/>
      <c r="EO61" s="1"/>
      <c r="EP61" s="2">
        <v>1057906</v>
      </c>
      <c r="EQ61" s="1">
        <v>1620272</v>
      </c>
      <c r="ER61" s="1">
        <v>1057906</v>
      </c>
      <c r="ES61" s="1">
        <v>1620272</v>
      </c>
      <c r="ET61" s="1"/>
      <c r="EU61" s="1"/>
      <c r="EV61" s="1">
        <v>875280</v>
      </c>
      <c r="EW61" s="1">
        <v>1284535</v>
      </c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>
        <v>75213</v>
      </c>
      <c r="FI61" s="1">
        <v>79686</v>
      </c>
      <c r="FJ61" s="1"/>
      <c r="FK61" s="1">
        <v>14628</v>
      </c>
      <c r="FL61" s="1"/>
      <c r="FM61" s="1"/>
      <c r="FN61" s="1">
        <v>1055</v>
      </c>
      <c r="FO61" s="1">
        <v>3145</v>
      </c>
      <c r="FP61" s="1">
        <v>53114</v>
      </c>
      <c r="FQ61" s="1">
        <v>150629</v>
      </c>
      <c r="FR61" s="1">
        <v>45178</v>
      </c>
      <c r="FS61" s="1">
        <v>65605</v>
      </c>
      <c r="FT61" s="1"/>
      <c r="FU61" s="1"/>
      <c r="FV61" s="1"/>
      <c r="FW61" s="1"/>
      <c r="FX61" s="1"/>
      <c r="FY61" s="1"/>
      <c r="FZ61" s="1">
        <v>8066</v>
      </c>
      <c r="GA61" s="1">
        <v>22044</v>
      </c>
      <c r="GB61" s="1">
        <v>2997906</v>
      </c>
      <c r="GC61" s="1">
        <v>1620272</v>
      </c>
      <c r="GD61" s="1">
        <v>7307538</v>
      </c>
      <c r="GE61" s="1">
        <v>7852264</v>
      </c>
    </row>
    <row r="62" spans="1:187" s="3" customFormat="1" ht="12" x14ac:dyDescent="0.2">
      <c r="A62" s="1">
        <v>20006</v>
      </c>
      <c r="B62" s="1">
        <v>0</v>
      </c>
      <c r="C62" s="1">
        <v>200426279</v>
      </c>
      <c r="D62" s="1" t="s">
        <v>132</v>
      </c>
      <c r="E62" s="1">
        <v>33</v>
      </c>
      <c r="F62" s="1">
        <v>11</v>
      </c>
      <c r="G62" s="1">
        <v>0</v>
      </c>
      <c r="H62" s="1">
        <v>1</v>
      </c>
      <c r="I62" s="1">
        <v>2021</v>
      </c>
      <c r="J62" s="1">
        <v>4</v>
      </c>
      <c r="K62" s="1" t="s">
        <v>0</v>
      </c>
      <c r="L62" s="1">
        <v>2</v>
      </c>
      <c r="M62" s="1">
        <v>30</v>
      </c>
      <c r="N62" s="1">
        <v>0</v>
      </c>
      <c r="O62" s="1">
        <v>44621.48232638889</v>
      </c>
      <c r="P62" s="1">
        <v>11286070</v>
      </c>
      <c r="Q62" s="1">
        <v>12809820</v>
      </c>
      <c r="R62" s="1">
        <v>5385799</v>
      </c>
      <c r="S62" s="1">
        <v>6427276</v>
      </c>
      <c r="T62" s="1">
        <v>5900271</v>
      </c>
      <c r="U62" s="1">
        <v>6382544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2129407</v>
      </c>
      <c r="AC62" s="1">
        <v>2129407</v>
      </c>
      <c r="AD62" s="1">
        <v>318435</v>
      </c>
      <c r="AE62" s="1">
        <v>318435</v>
      </c>
      <c r="AF62" s="1">
        <v>0</v>
      </c>
      <c r="AG62" s="1">
        <v>0</v>
      </c>
      <c r="AH62" s="1">
        <v>1810972</v>
      </c>
      <c r="AI62" s="1">
        <v>1810972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391305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2">
        <v>8420983</v>
      </c>
      <c r="AW62" s="1">
        <v>8511951</v>
      </c>
      <c r="AX62" s="1">
        <v>28847212</v>
      </c>
      <c r="AY62" s="1">
        <v>28333023</v>
      </c>
      <c r="AZ62" s="1">
        <v>27011921</v>
      </c>
      <c r="BA62" s="1">
        <v>26008199</v>
      </c>
      <c r="BB62" s="1">
        <v>1574</v>
      </c>
      <c r="BC62" s="1">
        <v>19195</v>
      </c>
      <c r="BD62" s="1">
        <v>1788717</v>
      </c>
      <c r="BE62" s="1">
        <v>2270538</v>
      </c>
      <c r="BF62" s="1">
        <v>45000</v>
      </c>
      <c r="BG62" s="1">
        <v>35091</v>
      </c>
      <c r="BH62" s="1">
        <v>8828</v>
      </c>
      <c r="BI62" s="1">
        <v>1851706</v>
      </c>
      <c r="BJ62" s="1">
        <v>0</v>
      </c>
      <c r="BK62" s="1">
        <v>0</v>
      </c>
      <c r="BL62" s="1">
        <v>6975164</v>
      </c>
      <c r="BM62" s="1">
        <v>3972526</v>
      </c>
      <c r="BN62" s="1">
        <v>0</v>
      </c>
      <c r="BO62" s="1">
        <v>0</v>
      </c>
      <c r="BP62" s="1">
        <v>163385</v>
      </c>
      <c r="BQ62" s="1">
        <v>227754</v>
      </c>
      <c r="BR62" s="1">
        <v>0</v>
      </c>
      <c r="BS62" s="1">
        <v>0</v>
      </c>
      <c r="BT62" s="1">
        <v>3512</v>
      </c>
      <c r="BU62" s="1">
        <v>226649</v>
      </c>
      <c r="BV62" s="1">
        <v>3</v>
      </c>
      <c r="BW62" s="1">
        <v>22099</v>
      </c>
      <c r="BX62" s="1">
        <v>4664415</v>
      </c>
      <c r="BY62" s="1">
        <v>3284075</v>
      </c>
      <c r="BZ62" s="1">
        <v>2029496</v>
      </c>
      <c r="CA62" s="1">
        <v>210305</v>
      </c>
      <c r="CB62" s="1">
        <v>1622</v>
      </c>
      <c r="CC62" s="1">
        <v>130</v>
      </c>
      <c r="CD62" s="1">
        <v>0</v>
      </c>
      <c r="CE62" s="1">
        <v>0</v>
      </c>
      <c r="CF62" s="1">
        <v>0</v>
      </c>
      <c r="CG62" s="1">
        <v>0</v>
      </c>
      <c r="CH62" s="1">
        <v>112731</v>
      </c>
      <c r="CI62" s="1">
        <v>1514</v>
      </c>
      <c r="CJ62" s="1">
        <v>127870</v>
      </c>
      <c r="CK62" s="1">
        <v>1394041</v>
      </c>
      <c r="CL62" s="1">
        <v>0</v>
      </c>
      <c r="CM62" s="1">
        <v>0</v>
      </c>
      <c r="CN62" s="1">
        <v>28825</v>
      </c>
      <c r="CO62" s="1">
        <v>758660</v>
      </c>
      <c r="CP62" s="1">
        <v>0</v>
      </c>
      <c r="CQ62" s="1">
        <v>0</v>
      </c>
      <c r="CR62" s="1">
        <v>99045</v>
      </c>
      <c r="CS62" s="1">
        <v>635381</v>
      </c>
      <c r="CT62" s="1">
        <v>0</v>
      </c>
      <c r="CU62" s="1">
        <v>0</v>
      </c>
      <c r="CV62" s="1">
        <v>0</v>
      </c>
      <c r="CW62" s="1">
        <v>0</v>
      </c>
      <c r="CX62" s="2">
        <v>35959074</v>
      </c>
      <c r="CY62" s="1">
        <v>35551296</v>
      </c>
      <c r="CZ62" s="1">
        <v>44380057</v>
      </c>
      <c r="DA62" s="1">
        <v>44063247</v>
      </c>
      <c r="DB62" s="1">
        <v>923288</v>
      </c>
      <c r="DC62" s="1">
        <v>923288</v>
      </c>
      <c r="DD62" s="1">
        <v>31313</v>
      </c>
      <c r="DE62" s="1">
        <v>31313</v>
      </c>
      <c r="DF62" s="1">
        <v>1407977</v>
      </c>
      <c r="DG62" s="1">
        <v>1405551</v>
      </c>
      <c r="DH62" s="1">
        <v>0</v>
      </c>
      <c r="DI62" s="1">
        <v>0</v>
      </c>
      <c r="DJ62" s="1">
        <v>6085286</v>
      </c>
      <c r="DK62" s="1">
        <v>5992196</v>
      </c>
      <c r="DL62" s="24">
        <v>0</v>
      </c>
      <c r="DM62" s="24">
        <v>0</v>
      </c>
      <c r="DN62" s="1">
        <v>0</v>
      </c>
      <c r="DO62" s="1">
        <v>0</v>
      </c>
      <c r="DP62" s="2">
        <v>8447864</v>
      </c>
      <c r="DQ62" s="1">
        <v>8352348</v>
      </c>
      <c r="DR62" s="2">
        <v>83333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83333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2">
        <v>35848860</v>
      </c>
      <c r="EQ62" s="1">
        <v>35710899</v>
      </c>
      <c r="ER62" s="1">
        <v>2707972</v>
      </c>
      <c r="ES62" s="1">
        <v>1854405</v>
      </c>
      <c r="ET62" s="1">
        <v>0</v>
      </c>
      <c r="EU62" s="1">
        <v>0</v>
      </c>
      <c r="EV62" s="1">
        <v>991387</v>
      </c>
      <c r="EW62" s="1">
        <v>1020213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193216</v>
      </c>
      <c r="FI62" s="1">
        <v>160961</v>
      </c>
      <c r="FJ62" s="1">
        <v>1584</v>
      </c>
      <c r="FK62" s="1">
        <v>545247</v>
      </c>
      <c r="FL62" s="1">
        <v>0</v>
      </c>
      <c r="FM62" s="1">
        <v>0</v>
      </c>
      <c r="FN62" s="1">
        <v>101623</v>
      </c>
      <c r="FO62" s="1">
        <v>74859</v>
      </c>
      <c r="FP62" s="1">
        <v>1297228</v>
      </c>
      <c r="FQ62" s="1">
        <v>39184</v>
      </c>
      <c r="FR62" s="1">
        <v>47772</v>
      </c>
      <c r="FS62" s="1">
        <v>0</v>
      </c>
      <c r="FT62" s="1">
        <v>514400</v>
      </c>
      <c r="FU62" s="1">
        <v>1688873</v>
      </c>
      <c r="FV62" s="1">
        <v>32626488</v>
      </c>
      <c r="FW62" s="1">
        <v>32167621</v>
      </c>
      <c r="FX62" s="1">
        <v>0</v>
      </c>
      <c r="FY62" s="1">
        <v>0</v>
      </c>
      <c r="FZ62" s="1">
        <v>75162</v>
      </c>
      <c r="GA62" s="1">
        <v>13941</v>
      </c>
      <c r="GB62" s="1">
        <v>35932193</v>
      </c>
      <c r="GC62" s="1">
        <v>35710899</v>
      </c>
      <c r="GD62" s="1">
        <v>44380057</v>
      </c>
      <c r="GE62" s="1">
        <v>44063247</v>
      </c>
    </row>
    <row r="63" spans="1:187" s="3" customFormat="1" ht="12" x14ac:dyDescent="0.2">
      <c r="A63" s="1">
        <v>20006</v>
      </c>
      <c r="B63" s="1">
        <v>0</v>
      </c>
      <c r="C63" s="1">
        <v>200426279</v>
      </c>
      <c r="D63" s="1" t="s">
        <v>132</v>
      </c>
      <c r="E63" s="1">
        <v>33</v>
      </c>
      <c r="F63" s="1">
        <v>11</v>
      </c>
      <c r="G63" s="1">
        <v>0</v>
      </c>
      <c r="H63" s="1">
        <v>1</v>
      </c>
      <c r="I63" s="1">
        <v>2020</v>
      </c>
      <c r="J63" s="1">
        <v>4</v>
      </c>
      <c r="K63" s="1" t="s">
        <v>0</v>
      </c>
      <c r="L63" s="1">
        <v>2</v>
      </c>
      <c r="M63" s="1">
        <v>30</v>
      </c>
      <c r="N63" s="1">
        <v>0</v>
      </c>
      <c r="O63" s="1">
        <v>44240.383819444447</v>
      </c>
      <c r="P63" s="1">
        <v>10457814</v>
      </c>
      <c r="Q63" s="1">
        <v>11286070</v>
      </c>
      <c r="R63" s="1">
        <v>4096436</v>
      </c>
      <c r="S63" s="1">
        <v>5385799</v>
      </c>
      <c r="T63" s="1">
        <v>6361378</v>
      </c>
      <c r="U63" s="1">
        <v>5900271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2023367</v>
      </c>
      <c r="AC63" s="1">
        <v>2129407</v>
      </c>
      <c r="AD63" s="1">
        <v>318435</v>
      </c>
      <c r="AE63" s="1">
        <v>318435</v>
      </c>
      <c r="AF63" s="1">
        <v>0</v>
      </c>
      <c r="AG63" s="1">
        <v>0</v>
      </c>
      <c r="AH63" s="1">
        <v>1704932</v>
      </c>
      <c r="AI63" s="1">
        <v>1810972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534369</v>
      </c>
      <c r="AQ63" s="1">
        <v>391305</v>
      </c>
      <c r="AR63" s="1">
        <v>0</v>
      </c>
      <c r="AS63" s="1">
        <v>0</v>
      </c>
      <c r="AT63" s="1">
        <v>0</v>
      </c>
      <c r="AU63" s="1">
        <v>0</v>
      </c>
      <c r="AV63" s="2">
        <v>8919114</v>
      </c>
      <c r="AW63" s="1">
        <v>8420983</v>
      </c>
      <c r="AX63" s="1">
        <v>31138060</v>
      </c>
      <c r="AY63" s="1">
        <v>28847212</v>
      </c>
      <c r="AZ63" s="1">
        <v>28498152</v>
      </c>
      <c r="BA63" s="1">
        <v>27011921</v>
      </c>
      <c r="BB63" s="1">
        <v>810</v>
      </c>
      <c r="BC63" s="1">
        <v>1574</v>
      </c>
      <c r="BD63" s="1">
        <v>2639079</v>
      </c>
      <c r="BE63" s="1">
        <v>1788717</v>
      </c>
      <c r="BF63" s="1">
        <v>19</v>
      </c>
      <c r="BG63" s="1">
        <v>45000</v>
      </c>
      <c r="BH63" s="1">
        <v>3594</v>
      </c>
      <c r="BI63" s="1">
        <v>8828</v>
      </c>
      <c r="BJ63" s="1">
        <v>0</v>
      </c>
      <c r="BK63" s="1">
        <v>0</v>
      </c>
      <c r="BL63" s="1">
        <v>6628607</v>
      </c>
      <c r="BM63" s="1">
        <v>6975164</v>
      </c>
      <c r="BN63" s="1">
        <v>0</v>
      </c>
      <c r="BO63" s="1">
        <v>0</v>
      </c>
      <c r="BP63" s="1">
        <v>351075</v>
      </c>
      <c r="BQ63" s="1">
        <v>163385</v>
      </c>
      <c r="BR63" s="1">
        <v>0</v>
      </c>
      <c r="BS63" s="1">
        <v>0</v>
      </c>
      <c r="BT63" s="1">
        <v>45855</v>
      </c>
      <c r="BU63" s="1">
        <v>3512</v>
      </c>
      <c r="BV63" s="1">
        <v>126</v>
      </c>
      <c r="BW63" s="1">
        <v>3</v>
      </c>
      <c r="BX63" s="1">
        <v>5673879</v>
      </c>
      <c r="BY63" s="1">
        <v>4664415</v>
      </c>
      <c r="BZ63" s="1">
        <v>552146</v>
      </c>
      <c r="CA63" s="1">
        <v>2029496</v>
      </c>
      <c r="CB63" s="1">
        <v>5526</v>
      </c>
      <c r="CC63" s="1">
        <v>1622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112731</v>
      </c>
      <c r="CJ63" s="1">
        <v>908457</v>
      </c>
      <c r="CK63" s="1">
        <v>127870</v>
      </c>
      <c r="CL63" s="1">
        <v>0</v>
      </c>
      <c r="CM63" s="1">
        <v>0</v>
      </c>
      <c r="CN63" s="1">
        <v>681912</v>
      </c>
      <c r="CO63" s="1">
        <v>28825</v>
      </c>
      <c r="CP63" s="1">
        <v>0</v>
      </c>
      <c r="CQ63" s="1">
        <v>0</v>
      </c>
      <c r="CR63" s="1">
        <v>226545</v>
      </c>
      <c r="CS63" s="1">
        <v>99045</v>
      </c>
      <c r="CT63" s="1">
        <v>0</v>
      </c>
      <c r="CU63" s="1">
        <v>0</v>
      </c>
      <c r="CV63" s="1">
        <v>0</v>
      </c>
      <c r="CW63" s="1">
        <v>0</v>
      </c>
      <c r="CX63" s="2">
        <v>38678718</v>
      </c>
      <c r="CY63" s="1">
        <v>35959074</v>
      </c>
      <c r="CZ63" s="1">
        <v>47597832</v>
      </c>
      <c r="DA63" s="1">
        <v>44380057</v>
      </c>
      <c r="DB63" s="1">
        <v>1312248</v>
      </c>
      <c r="DC63" s="1">
        <v>923288</v>
      </c>
      <c r="DD63" s="1">
        <v>31313</v>
      </c>
      <c r="DE63" s="1">
        <v>31313</v>
      </c>
      <c r="DF63" s="1">
        <v>1068173</v>
      </c>
      <c r="DG63" s="1">
        <v>1407977</v>
      </c>
      <c r="DH63" s="1">
        <v>0</v>
      </c>
      <c r="DI63" s="1">
        <v>0</v>
      </c>
      <c r="DJ63" s="1">
        <v>7386651</v>
      </c>
      <c r="DK63" s="1">
        <v>6085286</v>
      </c>
      <c r="DL63" s="24">
        <v>12140</v>
      </c>
      <c r="DM63" s="24">
        <v>0</v>
      </c>
      <c r="DN63" s="1">
        <v>0</v>
      </c>
      <c r="DO63" s="1">
        <v>0</v>
      </c>
      <c r="DP63" s="2">
        <v>9810525</v>
      </c>
      <c r="DQ63" s="1">
        <v>8447864</v>
      </c>
      <c r="DR63" s="2">
        <v>306872</v>
      </c>
      <c r="DS63" s="1">
        <v>83333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306872</v>
      </c>
      <c r="EK63" s="1">
        <v>83333</v>
      </c>
      <c r="EL63" s="1">
        <v>0</v>
      </c>
      <c r="EM63" s="1">
        <v>0</v>
      </c>
      <c r="EN63" s="1">
        <v>0</v>
      </c>
      <c r="EO63" s="1">
        <v>0</v>
      </c>
      <c r="EP63" s="2">
        <v>37480435</v>
      </c>
      <c r="EQ63" s="1">
        <v>35848860</v>
      </c>
      <c r="ER63" s="1">
        <v>3264670</v>
      </c>
      <c r="ES63" s="1">
        <v>2707972</v>
      </c>
      <c r="ET63" s="1">
        <v>0</v>
      </c>
      <c r="EU63" s="1">
        <v>0</v>
      </c>
      <c r="EV63" s="1">
        <v>1228196</v>
      </c>
      <c r="EW63" s="1">
        <v>991387</v>
      </c>
      <c r="EX63" s="1">
        <v>0</v>
      </c>
      <c r="EY63" s="1">
        <v>0</v>
      </c>
      <c r="EZ63" s="1">
        <v>1085214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56833</v>
      </c>
      <c r="FI63" s="1">
        <v>193216</v>
      </c>
      <c r="FJ63" s="1">
        <v>304217</v>
      </c>
      <c r="FK63" s="1">
        <v>1584</v>
      </c>
      <c r="FL63" s="1">
        <v>0</v>
      </c>
      <c r="FM63" s="1">
        <v>0</v>
      </c>
      <c r="FN63" s="1">
        <v>269845</v>
      </c>
      <c r="FO63" s="1">
        <v>101623</v>
      </c>
      <c r="FP63" s="1">
        <v>5770</v>
      </c>
      <c r="FQ63" s="1">
        <v>1297228</v>
      </c>
      <c r="FR63" s="1">
        <v>245827</v>
      </c>
      <c r="FS63" s="1">
        <v>47772</v>
      </c>
      <c r="FT63" s="1">
        <v>10738647</v>
      </c>
      <c r="FU63" s="1">
        <v>514400</v>
      </c>
      <c r="FV63" s="1">
        <v>23477118</v>
      </c>
      <c r="FW63" s="1">
        <v>32626488</v>
      </c>
      <c r="FX63" s="1">
        <v>0</v>
      </c>
      <c r="FY63" s="1">
        <v>0</v>
      </c>
      <c r="FZ63" s="1">
        <v>68768</v>
      </c>
      <c r="GA63" s="1">
        <v>75162</v>
      </c>
      <c r="GB63" s="1">
        <v>37787307</v>
      </c>
      <c r="GC63" s="1">
        <v>35932193</v>
      </c>
      <c r="GD63" s="1">
        <v>47597832</v>
      </c>
      <c r="GE63" s="1">
        <v>44380057</v>
      </c>
    </row>
    <row r="64" spans="1:187" s="3" customFormat="1" ht="12" x14ac:dyDescent="0.2">
      <c r="A64" s="1">
        <v>20006</v>
      </c>
      <c r="B64" s="1">
        <v>0</v>
      </c>
      <c r="C64" s="1">
        <v>200426279</v>
      </c>
      <c r="D64" s="1" t="s">
        <v>132</v>
      </c>
      <c r="E64" s="1">
        <v>33</v>
      </c>
      <c r="F64" s="1">
        <v>11</v>
      </c>
      <c r="G64" s="1">
        <v>0</v>
      </c>
      <c r="H64" s="1">
        <v>1</v>
      </c>
      <c r="I64" s="1">
        <v>2019</v>
      </c>
      <c r="J64" s="1">
        <v>4</v>
      </c>
      <c r="K64" s="1" t="s">
        <v>0</v>
      </c>
      <c r="L64" s="1">
        <v>2</v>
      </c>
      <c r="M64" s="1">
        <v>30</v>
      </c>
      <c r="N64" s="1">
        <v>0</v>
      </c>
      <c r="O64" s="1">
        <v>43880.755509259259</v>
      </c>
      <c r="P64" s="1">
        <v>8078912</v>
      </c>
      <c r="Q64" s="1">
        <v>10457814</v>
      </c>
      <c r="R64" s="1">
        <v>3113722</v>
      </c>
      <c r="S64" s="1">
        <v>4096436</v>
      </c>
      <c r="T64" s="1">
        <v>4965190</v>
      </c>
      <c r="U64" s="1">
        <v>6361378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2523367</v>
      </c>
      <c r="AC64" s="1">
        <v>2023367</v>
      </c>
      <c r="AD64" s="1">
        <v>318435</v>
      </c>
      <c r="AE64" s="1">
        <v>318435</v>
      </c>
      <c r="AF64" s="1">
        <v>0</v>
      </c>
      <c r="AG64" s="1">
        <v>0</v>
      </c>
      <c r="AH64" s="1">
        <v>1204932</v>
      </c>
      <c r="AI64" s="1">
        <v>1704932</v>
      </c>
      <c r="AJ64" s="1">
        <v>0</v>
      </c>
      <c r="AK64" s="1">
        <v>0</v>
      </c>
      <c r="AL64" s="1">
        <v>1000000</v>
      </c>
      <c r="AM64" s="1">
        <v>0</v>
      </c>
      <c r="AN64" s="1">
        <v>0</v>
      </c>
      <c r="AO64" s="1">
        <v>0</v>
      </c>
      <c r="AP64" s="1">
        <v>534368</v>
      </c>
      <c r="AQ64" s="1">
        <v>534368</v>
      </c>
      <c r="AR64" s="1">
        <v>0</v>
      </c>
      <c r="AS64" s="1">
        <v>0</v>
      </c>
      <c r="AT64" s="1">
        <v>0</v>
      </c>
      <c r="AU64" s="1">
        <v>0</v>
      </c>
      <c r="AV64" s="2">
        <v>8022925</v>
      </c>
      <c r="AW64" s="1">
        <v>8919113</v>
      </c>
      <c r="AX64" s="1">
        <v>17768645</v>
      </c>
      <c r="AY64" s="1">
        <v>31138060</v>
      </c>
      <c r="AZ64" s="1">
        <v>16001506</v>
      </c>
      <c r="BA64" s="1">
        <v>28498152</v>
      </c>
      <c r="BB64" s="1">
        <v>689</v>
      </c>
      <c r="BC64" s="1">
        <v>810</v>
      </c>
      <c r="BD64" s="1">
        <v>1548871</v>
      </c>
      <c r="BE64" s="1">
        <v>2639079</v>
      </c>
      <c r="BF64" s="1">
        <v>217579</v>
      </c>
      <c r="BG64" s="1">
        <v>19</v>
      </c>
      <c r="BH64" s="1">
        <v>0</v>
      </c>
      <c r="BI64" s="1">
        <v>3594</v>
      </c>
      <c r="BJ64" s="1">
        <v>0</v>
      </c>
      <c r="BK64" s="1">
        <v>0</v>
      </c>
      <c r="BL64" s="1">
        <v>2995694</v>
      </c>
      <c r="BM64" s="1">
        <v>6628607</v>
      </c>
      <c r="BN64" s="1">
        <v>0</v>
      </c>
      <c r="BO64" s="1">
        <v>0</v>
      </c>
      <c r="BP64" s="1">
        <v>50532</v>
      </c>
      <c r="BQ64" s="1">
        <v>351075</v>
      </c>
      <c r="BR64" s="1">
        <v>0</v>
      </c>
      <c r="BS64" s="1">
        <v>0</v>
      </c>
      <c r="BT64" s="1">
        <v>46594</v>
      </c>
      <c r="BU64" s="1">
        <v>45855</v>
      </c>
      <c r="BV64" s="1">
        <v>255</v>
      </c>
      <c r="BW64" s="1">
        <v>126</v>
      </c>
      <c r="BX64" s="1">
        <v>2787447</v>
      </c>
      <c r="BY64" s="1">
        <v>5673879</v>
      </c>
      <c r="BZ64" s="1">
        <v>88235</v>
      </c>
      <c r="CA64" s="1">
        <v>552146</v>
      </c>
      <c r="CB64" s="1">
        <v>22631</v>
      </c>
      <c r="CC64" s="1">
        <v>5526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429180</v>
      </c>
      <c r="CK64" s="1">
        <v>908457</v>
      </c>
      <c r="CL64" s="1">
        <v>0</v>
      </c>
      <c r="CM64" s="1">
        <v>0</v>
      </c>
      <c r="CN64" s="1">
        <v>174286</v>
      </c>
      <c r="CO64" s="1">
        <v>681912</v>
      </c>
      <c r="CP64" s="1">
        <v>0</v>
      </c>
      <c r="CQ64" s="1">
        <v>0</v>
      </c>
      <c r="CR64" s="1">
        <v>254894</v>
      </c>
      <c r="CS64" s="1">
        <v>226545</v>
      </c>
      <c r="CT64" s="1">
        <v>0</v>
      </c>
      <c r="CU64" s="1">
        <v>0</v>
      </c>
      <c r="CV64" s="1">
        <v>0</v>
      </c>
      <c r="CW64" s="1">
        <v>0</v>
      </c>
      <c r="CX64" s="2">
        <v>21193519</v>
      </c>
      <c r="CY64" s="1">
        <v>38678718</v>
      </c>
      <c r="CZ64" s="1">
        <v>29216444</v>
      </c>
      <c r="DA64" s="1">
        <v>47597831</v>
      </c>
      <c r="DB64" s="1">
        <v>1312248</v>
      </c>
      <c r="DC64" s="1">
        <v>1312248</v>
      </c>
      <c r="DD64" s="1">
        <v>31312</v>
      </c>
      <c r="DE64" s="1">
        <v>31312</v>
      </c>
      <c r="DF64" s="1">
        <v>796894</v>
      </c>
      <c r="DG64" s="1">
        <v>1068173</v>
      </c>
      <c r="DH64" s="1">
        <v>0</v>
      </c>
      <c r="DI64" s="1">
        <v>0</v>
      </c>
      <c r="DJ64" s="1">
        <v>1930894</v>
      </c>
      <c r="DK64" s="1">
        <v>7386651</v>
      </c>
      <c r="DL64" s="24">
        <v>12140</v>
      </c>
      <c r="DM64" s="24">
        <v>12140</v>
      </c>
      <c r="DN64" s="1">
        <v>0</v>
      </c>
      <c r="DO64" s="1">
        <v>0</v>
      </c>
      <c r="DP64" s="2">
        <v>4083488</v>
      </c>
      <c r="DQ64" s="1">
        <v>9810524</v>
      </c>
      <c r="DR64" s="2">
        <v>1050318</v>
      </c>
      <c r="DS64" s="1">
        <v>306872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599604</v>
      </c>
      <c r="EK64" s="1">
        <v>0</v>
      </c>
      <c r="EL64" s="1">
        <v>450714</v>
      </c>
      <c r="EM64" s="1">
        <v>306872</v>
      </c>
      <c r="EN64" s="1">
        <v>0</v>
      </c>
      <c r="EO64" s="1">
        <v>0</v>
      </c>
      <c r="EP64" s="2">
        <v>24082638</v>
      </c>
      <c r="EQ64" s="1">
        <v>37480435</v>
      </c>
      <c r="ER64" s="1">
        <v>8855638</v>
      </c>
      <c r="ES64" s="1">
        <v>3264670</v>
      </c>
      <c r="ET64" s="1">
        <v>0</v>
      </c>
      <c r="EU64" s="1">
        <v>0</v>
      </c>
      <c r="EV64" s="1">
        <v>1164652</v>
      </c>
      <c r="EW64" s="1">
        <v>1228196</v>
      </c>
      <c r="EX64" s="1">
        <v>0</v>
      </c>
      <c r="EY64" s="1">
        <v>0</v>
      </c>
      <c r="EZ64" s="1">
        <v>5547124</v>
      </c>
      <c r="FA64" s="1">
        <v>1085214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152952</v>
      </c>
      <c r="FI64" s="1">
        <v>56833</v>
      </c>
      <c r="FJ64" s="1">
        <v>1248198</v>
      </c>
      <c r="FK64" s="1">
        <v>304217</v>
      </c>
      <c r="FL64" s="1">
        <v>0</v>
      </c>
      <c r="FM64" s="1">
        <v>0</v>
      </c>
      <c r="FN64" s="1">
        <v>627804</v>
      </c>
      <c r="FO64" s="1">
        <v>272566</v>
      </c>
      <c r="FP64" s="1">
        <v>16197</v>
      </c>
      <c r="FQ64" s="1">
        <v>5770</v>
      </c>
      <c r="FR64" s="1">
        <v>68124</v>
      </c>
      <c r="FS64" s="1">
        <v>245827</v>
      </c>
      <c r="FT64" s="1">
        <v>5321550</v>
      </c>
      <c r="FU64" s="1">
        <v>10738647</v>
      </c>
      <c r="FV64" s="1">
        <v>9905450</v>
      </c>
      <c r="FW64" s="1">
        <v>23477118</v>
      </c>
      <c r="FX64" s="1">
        <v>0</v>
      </c>
      <c r="FY64" s="1">
        <v>0</v>
      </c>
      <c r="FZ64" s="1">
        <v>30587</v>
      </c>
      <c r="GA64" s="1">
        <v>66047</v>
      </c>
      <c r="GB64" s="1">
        <v>25132956</v>
      </c>
      <c r="GC64" s="1">
        <v>37787307</v>
      </c>
      <c r="GD64" s="1">
        <v>29216444</v>
      </c>
      <c r="GE64" s="1">
        <v>47597831</v>
      </c>
    </row>
    <row r="65" spans="1:187" s="3" customFormat="1" x14ac:dyDescent="0.25">
      <c r="A65" s="1">
        <v>20006</v>
      </c>
      <c r="B65" s="1">
        <v>0</v>
      </c>
      <c r="C65" s="3">
        <v>200426279</v>
      </c>
      <c r="D65" s="3" t="s">
        <v>132</v>
      </c>
      <c r="E65" s="4">
        <v>33</v>
      </c>
      <c r="F65" s="4">
        <v>11</v>
      </c>
      <c r="G65" s="4">
        <v>0</v>
      </c>
      <c r="H65" s="4">
        <v>1</v>
      </c>
      <c r="I65" s="1">
        <v>2018</v>
      </c>
      <c r="J65" s="1">
        <v>4</v>
      </c>
      <c r="K65" s="3" t="s">
        <v>0</v>
      </c>
      <c r="L65" s="1">
        <v>2</v>
      </c>
      <c r="M65" s="1">
        <v>30</v>
      </c>
      <c r="N65" s="5">
        <v>0</v>
      </c>
      <c r="O65" s="6">
        <v>43542.387060185189</v>
      </c>
      <c r="P65" s="1">
        <v>6466037</v>
      </c>
      <c r="Q65" s="1">
        <v>8078912</v>
      </c>
      <c r="R65" s="1">
        <v>2459287</v>
      </c>
      <c r="S65" s="1">
        <v>3113722</v>
      </c>
      <c r="T65" s="1">
        <v>4006750</v>
      </c>
      <c r="U65" s="1">
        <v>4965190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1545048</v>
      </c>
      <c r="AC65" s="1">
        <v>2523367</v>
      </c>
      <c r="AD65" s="1">
        <v>318435</v>
      </c>
      <c r="AE65" s="1">
        <v>318435</v>
      </c>
      <c r="AF65" s="1">
        <v>0</v>
      </c>
      <c r="AG65" s="1">
        <v>0</v>
      </c>
      <c r="AH65" s="1">
        <v>1224612</v>
      </c>
      <c r="AI65" s="1">
        <v>2204932</v>
      </c>
      <c r="AJ65" s="1">
        <v>0</v>
      </c>
      <c r="AK65" s="1">
        <v>0</v>
      </c>
      <c r="AL65" s="1">
        <v>2001</v>
      </c>
      <c r="AM65" s="1">
        <v>0</v>
      </c>
      <c r="AN65" s="1">
        <v>0</v>
      </c>
      <c r="AO65" s="1">
        <v>0</v>
      </c>
      <c r="AP65" s="1">
        <v>933275</v>
      </c>
      <c r="AQ65" s="1">
        <v>534368</v>
      </c>
      <c r="AR65" s="1">
        <v>0</v>
      </c>
      <c r="AS65" s="1">
        <v>0</v>
      </c>
      <c r="AT65" s="1">
        <v>0</v>
      </c>
      <c r="AU65" s="1">
        <v>0</v>
      </c>
      <c r="AV65" s="2">
        <v>6485073</v>
      </c>
      <c r="AW65" s="1">
        <v>8022925</v>
      </c>
      <c r="AX65" s="1">
        <v>25058211</v>
      </c>
      <c r="AY65" s="1">
        <v>17768643</v>
      </c>
      <c r="AZ65" s="1">
        <v>22098827</v>
      </c>
      <c r="BA65" s="1">
        <v>16001504</v>
      </c>
      <c r="BB65" s="1">
        <v>5992</v>
      </c>
      <c r="BC65" s="1">
        <v>689</v>
      </c>
      <c r="BD65" s="1">
        <v>2953392</v>
      </c>
      <c r="BE65" s="1">
        <v>1548871</v>
      </c>
      <c r="BF65" s="1">
        <v>0</v>
      </c>
      <c r="BG65" s="1">
        <v>217579</v>
      </c>
      <c r="BH65" s="1">
        <v>0</v>
      </c>
      <c r="BI65" s="1">
        <v>0</v>
      </c>
      <c r="BJ65" s="1">
        <v>0</v>
      </c>
      <c r="BK65" s="1">
        <v>0</v>
      </c>
      <c r="BL65" s="1">
        <v>3033318</v>
      </c>
      <c r="BM65" s="1">
        <v>2995972</v>
      </c>
      <c r="BN65" s="1">
        <v>0</v>
      </c>
      <c r="BO65" s="1">
        <v>0</v>
      </c>
      <c r="BP65" s="1">
        <v>13565</v>
      </c>
      <c r="BQ65" s="1">
        <v>15040</v>
      </c>
      <c r="BR65" s="1">
        <v>0</v>
      </c>
      <c r="BS65" s="1">
        <v>0</v>
      </c>
      <c r="BT65" s="1">
        <v>50861</v>
      </c>
      <c r="BU65" s="1">
        <v>46594</v>
      </c>
      <c r="BV65" s="1">
        <v>0</v>
      </c>
      <c r="BW65" s="1">
        <v>0</v>
      </c>
      <c r="BX65" s="1">
        <v>2769194</v>
      </c>
      <c r="BY65" s="1">
        <v>2668955</v>
      </c>
      <c r="BZ65" s="1">
        <v>57717</v>
      </c>
      <c r="CA65" s="1">
        <v>88235</v>
      </c>
      <c r="CB65" s="1">
        <v>0</v>
      </c>
      <c r="CC65" s="1">
        <v>22631</v>
      </c>
      <c r="CD65" s="1">
        <v>0</v>
      </c>
      <c r="CE65" s="1">
        <v>0</v>
      </c>
      <c r="CF65" s="1">
        <v>45259</v>
      </c>
      <c r="CG65" s="1">
        <v>36025</v>
      </c>
      <c r="CH65" s="1">
        <v>96722</v>
      </c>
      <c r="CI65" s="1">
        <v>118492</v>
      </c>
      <c r="CJ65" s="1">
        <v>48485</v>
      </c>
      <c r="CK65" s="1">
        <v>428902</v>
      </c>
      <c r="CL65" s="1">
        <v>0</v>
      </c>
      <c r="CM65" s="1">
        <v>0</v>
      </c>
      <c r="CN65" s="1">
        <v>7340</v>
      </c>
      <c r="CO65" s="1">
        <v>242352</v>
      </c>
      <c r="CP65" s="1">
        <v>0</v>
      </c>
      <c r="CQ65" s="1">
        <v>0</v>
      </c>
      <c r="CR65" s="1">
        <v>41145</v>
      </c>
      <c r="CS65" s="1">
        <v>186550</v>
      </c>
      <c r="CT65" s="1">
        <v>0</v>
      </c>
      <c r="CU65" s="1">
        <v>0</v>
      </c>
      <c r="CV65" s="1">
        <v>0</v>
      </c>
      <c r="CW65" s="1">
        <v>0</v>
      </c>
      <c r="CX65" s="2">
        <v>28140014</v>
      </c>
      <c r="CY65" s="1">
        <v>21193517</v>
      </c>
      <c r="CZ65" s="1">
        <v>34625087</v>
      </c>
      <c r="DA65" s="1">
        <v>29216442</v>
      </c>
      <c r="DB65" s="1">
        <v>1312248</v>
      </c>
      <c r="DC65" s="1">
        <v>1312248</v>
      </c>
      <c r="DD65" s="1">
        <v>31312</v>
      </c>
      <c r="DE65" s="1">
        <v>31312</v>
      </c>
      <c r="DF65" s="1">
        <v>788518</v>
      </c>
      <c r="DG65" s="1">
        <v>796893</v>
      </c>
      <c r="DH65" s="1">
        <v>0</v>
      </c>
      <c r="DI65" s="1">
        <v>0</v>
      </c>
      <c r="DJ65" s="1">
        <v>109347</v>
      </c>
      <c r="DK65" s="1">
        <v>1930893</v>
      </c>
      <c r="DL65" s="24">
        <v>12140</v>
      </c>
      <c r="DM65" s="24">
        <v>12140</v>
      </c>
      <c r="DN65" s="1">
        <v>0</v>
      </c>
      <c r="DO65" s="1">
        <v>0</v>
      </c>
      <c r="DP65" s="2">
        <v>2253565</v>
      </c>
      <c r="DQ65" s="1">
        <v>4083486</v>
      </c>
      <c r="DR65" s="2">
        <v>1575000</v>
      </c>
      <c r="DS65" s="1">
        <v>1050318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1575000</v>
      </c>
      <c r="EK65" s="1">
        <v>1050318</v>
      </c>
      <c r="EL65" s="1">
        <v>0</v>
      </c>
      <c r="EM65" s="1">
        <v>0</v>
      </c>
      <c r="EN65" s="1">
        <v>0</v>
      </c>
      <c r="EO65" s="1">
        <v>0</v>
      </c>
      <c r="EP65" s="2">
        <v>30796522</v>
      </c>
      <c r="EQ65" s="1">
        <v>24082638</v>
      </c>
      <c r="ER65" s="1">
        <v>7669081</v>
      </c>
      <c r="ES65" s="1">
        <v>8855638</v>
      </c>
      <c r="ET65" s="1">
        <v>0</v>
      </c>
      <c r="EU65" s="1">
        <v>0</v>
      </c>
      <c r="EV65" s="1">
        <v>749649</v>
      </c>
      <c r="EW65" s="1">
        <v>109156</v>
      </c>
      <c r="EX65" s="1">
        <v>0</v>
      </c>
      <c r="EY65" s="1">
        <v>0</v>
      </c>
      <c r="EZ65" s="1">
        <v>5250956</v>
      </c>
      <c r="FA65" s="1">
        <v>5547124</v>
      </c>
      <c r="FB65" s="1">
        <v>0</v>
      </c>
      <c r="FC65" s="1">
        <v>0</v>
      </c>
      <c r="FD65" s="1">
        <v>137393</v>
      </c>
      <c r="FE65" s="1">
        <v>0</v>
      </c>
      <c r="FF65" s="1">
        <v>0</v>
      </c>
      <c r="FG65" s="1">
        <v>0</v>
      </c>
      <c r="FH65" s="1">
        <v>0</v>
      </c>
      <c r="FI65" s="1">
        <v>558186</v>
      </c>
      <c r="FJ65" s="1">
        <v>504662</v>
      </c>
      <c r="FK65" s="1">
        <v>1248198</v>
      </c>
      <c r="FL65" s="1">
        <v>0</v>
      </c>
      <c r="FM65" s="1">
        <v>0</v>
      </c>
      <c r="FN65" s="1">
        <v>312649</v>
      </c>
      <c r="FO65" s="1">
        <v>627804</v>
      </c>
      <c r="FP65" s="1">
        <v>23924</v>
      </c>
      <c r="FQ65" s="1">
        <v>16197</v>
      </c>
      <c r="FR65" s="1">
        <v>47466</v>
      </c>
      <c r="FS65" s="1">
        <v>68124</v>
      </c>
      <c r="FT65" s="1">
        <v>13529165</v>
      </c>
      <c r="FU65" s="1">
        <v>5321550</v>
      </c>
      <c r="FV65" s="1">
        <v>9598276</v>
      </c>
      <c r="FW65" s="1">
        <v>9905450</v>
      </c>
      <c r="FX65" s="1">
        <v>0</v>
      </c>
      <c r="FY65" s="1">
        <v>0</v>
      </c>
      <c r="FZ65" s="1">
        <v>642382</v>
      </c>
      <c r="GA65" s="1">
        <v>680849</v>
      </c>
      <c r="GB65" s="1">
        <v>32371522</v>
      </c>
      <c r="GC65" s="1">
        <v>25132956</v>
      </c>
      <c r="GD65" s="1">
        <v>34625087</v>
      </c>
      <c r="GE65" s="1">
        <v>29216442</v>
      </c>
    </row>
    <row r="66" spans="1:187" s="3" customFormat="1" ht="12" x14ac:dyDescent="0.2">
      <c r="A66" s="1">
        <v>20006</v>
      </c>
      <c r="B66" s="1">
        <v>0</v>
      </c>
      <c r="C66" s="1">
        <v>200465215</v>
      </c>
      <c r="D66" s="1" t="s">
        <v>133</v>
      </c>
      <c r="E66" s="1">
        <v>27</v>
      </c>
      <c r="F66" s="1">
        <v>19</v>
      </c>
      <c r="G66" s="1">
        <v>2</v>
      </c>
      <c r="H66" s="1">
        <v>1</v>
      </c>
      <c r="I66" s="1">
        <v>2021</v>
      </c>
      <c r="J66" s="1">
        <v>4</v>
      </c>
      <c r="K66" s="1" t="s">
        <v>0</v>
      </c>
      <c r="L66" s="1">
        <v>1</v>
      </c>
      <c r="M66" s="1">
        <v>30</v>
      </c>
      <c r="N66" s="1">
        <v>0</v>
      </c>
      <c r="O66" s="1">
        <v>44606.560995370368</v>
      </c>
      <c r="P66" s="1">
        <v>31419033</v>
      </c>
      <c r="Q66" s="1">
        <v>32324670</v>
      </c>
      <c r="R66" s="1">
        <v>23453602</v>
      </c>
      <c r="S66" s="1">
        <v>24808300</v>
      </c>
      <c r="T66" s="1">
        <v>7965431</v>
      </c>
      <c r="U66" s="1">
        <v>7516370</v>
      </c>
      <c r="V66" s="1">
        <v>490721</v>
      </c>
      <c r="W66" s="1">
        <v>490721</v>
      </c>
      <c r="X66" s="1">
        <v>490721</v>
      </c>
      <c r="Y66" s="1">
        <v>490721</v>
      </c>
      <c r="Z66" s="1">
        <v>0</v>
      </c>
      <c r="AA66" s="1">
        <v>0</v>
      </c>
      <c r="AB66" s="1">
        <v>15149736</v>
      </c>
      <c r="AC66" s="1">
        <v>15143736</v>
      </c>
      <c r="AD66" s="1">
        <v>172206</v>
      </c>
      <c r="AE66" s="1">
        <v>172206</v>
      </c>
      <c r="AF66" s="1"/>
      <c r="AG66" s="1"/>
      <c r="AH66" s="1"/>
      <c r="AI66" s="1"/>
      <c r="AJ66" s="1">
        <v>8697836</v>
      </c>
      <c r="AK66" s="1">
        <v>8697836</v>
      </c>
      <c r="AL66" s="1">
        <v>6279694</v>
      </c>
      <c r="AM66" s="1">
        <v>6273694</v>
      </c>
      <c r="AN66" s="1">
        <v>428852</v>
      </c>
      <c r="AO66" s="1">
        <v>409825</v>
      </c>
      <c r="AP66" s="1">
        <v>8922625</v>
      </c>
      <c r="AQ66" s="1">
        <v>10094487</v>
      </c>
      <c r="AR66" s="1">
        <v>1167300</v>
      </c>
      <c r="AS66" s="1">
        <v>1160900</v>
      </c>
      <c r="AT66" s="1"/>
      <c r="AU66" s="1"/>
      <c r="AV66" s="2">
        <v>33633944</v>
      </c>
      <c r="AW66" s="1">
        <v>34325318</v>
      </c>
      <c r="AX66" s="1">
        <v>8971407</v>
      </c>
      <c r="AY66" s="1">
        <v>8496520</v>
      </c>
      <c r="AZ66" s="1">
        <v>8171258</v>
      </c>
      <c r="BA66" s="1">
        <v>7990819</v>
      </c>
      <c r="BB66" s="1">
        <v>30400</v>
      </c>
      <c r="BC66" s="1">
        <v>321207</v>
      </c>
      <c r="BD66" s="1">
        <v>769749</v>
      </c>
      <c r="BE66" s="1">
        <v>184494</v>
      </c>
      <c r="BF66" s="1"/>
      <c r="BG66" s="1"/>
      <c r="BH66" s="1"/>
      <c r="BI66" s="1">
        <v>5372608</v>
      </c>
      <c r="BJ66" s="1"/>
      <c r="BK66" s="1"/>
      <c r="BL66" s="1">
        <v>8429230</v>
      </c>
      <c r="BM66" s="1">
        <v>7856079</v>
      </c>
      <c r="BN66" s="1"/>
      <c r="BO66" s="1"/>
      <c r="BP66" s="1">
        <v>5096400</v>
      </c>
      <c r="BQ66" s="1">
        <v>4002490</v>
      </c>
      <c r="BR66" s="1"/>
      <c r="BS66" s="1"/>
      <c r="BT66" s="1"/>
      <c r="BU66" s="1"/>
      <c r="BV66" s="1">
        <v>16544</v>
      </c>
      <c r="BW66" s="1">
        <v>14709</v>
      </c>
      <c r="BX66" s="1">
        <v>609646</v>
      </c>
      <c r="BY66" s="1">
        <v>1510437</v>
      </c>
      <c r="BZ66" s="1"/>
      <c r="CA66" s="1">
        <v>55367</v>
      </c>
      <c r="CB66" s="1"/>
      <c r="CC66" s="1">
        <v>9827</v>
      </c>
      <c r="CD66" s="1"/>
      <c r="CE66" s="1"/>
      <c r="CF66" s="1">
        <v>5000</v>
      </c>
      <c r="CG66" s="1">
        <v>0</v>
      </c>
      <c r="CH66" s="1">
        <v>2701640</v>
      </c>
      <c r="CI66" s="1">
        <v>2263249</v>
      </c>
      <c r="CJ66" s="1">
        <v>64965</v>
      </c>
      <c r="CK66" s="1">
        <v>152686</v>
      </c>
      <c r="CL66" s="1"/>
      <c r="CM66" s="1"/>
      <c r="CN66" s="1">
        <v>4463</v>
      </c>
      <c r="CO66" s="1">
        <v>0</v>
      </c>
      <c r="CP66" s="1">
        <v>0</v>
      </c>
      <c r="CQ66" s="1">
        <v>0</v>
      </c>
      <c r="CR66" s="1">
        <v>60502</v>
      </c>
      <c r="CS66" s="1">
        <v>152686</v>
      </c>
      <c r="CT66" s="1">
        <v>3715036</v>
      </c>
      <c r="CU66" s="1">
        <v>3715036</v>
      </c>
      <c r="CV66" s="1">
        <v>20340</v>
      </c>
      <c r="CW66" s="1">
        <v>20340</v>
      </c>
      <c r="CX66" s="2">
        <v>21200978</v>
      </c>
      <c r="CY66" s="1">
        <v>25613269</v>
      </c>
      <c r="CZ66" s="1">
        <v>54834922</v>
      </c>
      <c r="DA66" s="1">
        <v>59938587</v>
      </c>
      <c r="DB66" s="1">
        <v>1231330</v>
      </c>
      <c r="DC66" s="1">
        <v>1231330</v>
      </c>
      <c r="DD66" s="1">
        <v>19929</v>
      </c>
      <c r="DE66" s="1">
        <v>19929</v>
      </c>
      <c r="DF66" s="1">
        <v>16349365</v>
      </c>
      <c r="DG66" s="1">
        <v>17527477</v>
      </c>
      <c r="DH66" s="1"/>
      <c r="DI66" s="1"/>
      <c r="DJ66" s="1">
        <v>11901351</v>
      </c>
      <c r="DK66" s="1">
        <v>11954651</v>
      </c>
      <c r="DL66" s="24"/>
      <c r="DM66" s="24"/>
      <c r="DN66" s="1"/>
      <c r="DO66" s="1"/>
      <c r="DP66" s="2">
        <v>29501975</v>
      </c>
      <c r="DQ66" s="1">
        <v>30733387</v>
      </c>
      <c r="DR66" s="2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2">
        <v>23784007</v>
      </c>
      <c r="EQ66" s="1">
        <v>29205200</v>
      </c>
      <c r="ER66" s="1">
        <v>16276692</v>
      </c>
      <c r="ES66" s="1">
        <v>21697885</v>
      </c>
      <c r="ET66" s="1"/>
      <c r="EU66" s="1"/>
      <c r="EV66" s="1">
        <v>2054797</v>
      </c>
      <c r="EW66" s="1">
        <v>3163385</v>
      </c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>
        <v>8512118</v>
      </c>
      <c r="FI66" s="1">
        <v>11085104</v>
      </c>
      <c r="FJ66" s="1">
        <v>1441896</v>
      </c>
      <c r="FK66" s="1">
        <v>2571106</v>
      </c>
      <c r="FL66" s="1"/>
      <c r="FM66" s="1"/>
      <c r="FN66" s="1">
        <v>1452778</v>
      </c>
      <c r="FO66" s="1">
        <v>1966231</v>
      </c>
      <c r="FP66" s="1">
        <v>326435</v>
      </c>
      <c r="FQ66" s="1">
        <v>326435</v>
      </c>
      <c r="FR66" s="1">
        <v>292168</v>
      </c>
      <c r="FS66" s="1">
        <v>744856</v>
      </c>
      <c r="FT66" s="1"/>
      <c r="FU66" s="1"/>
      <c r="FV66" s="1">
        <v>7507315</v>
      </c>
      <c r="FW66" s="1">
        <v>7507315</v>
      </c>
      <c r="FX66" s="1"/>
      <c r="FY66" s="1"/>
      <c r="FZ66" s="1">
        <v>2196500</v>
      </c>
      <c r="GA66" s="1">
        <v>1840768</v>
      </c>
      <c r="GB66" s="1">
        <v>23784007</v>
      </c>
      <c r="GC66" s="1">
        <v>29205200</v>
      </c>
      <c r="GD66" s="1">
        <v>53285982</v>
      </c>
      <c r="GE66" s="1">
        <v>59938587</v>
      </c>
    </row>
    <row r="67" spans="1:187" s="3" customFormat="1" ht="12" x14ac:dyDescent="0.2">
      <c r="A67" s="1">
        <v>20006</v>
      </c>
      <c r="B67" s="1">
        <v>0</v>
      </c>
      <c r="C67" s="1">
        <v>200465215</v>
      </c>
      <c r="D67" s="1" t="s">
        <v>133</v>
      </c>
      <c r="E67" s="1">
        <v>27</v>
      </c>
      <c r="F67" s="1">
        <v>19</v>
      </c>
      <c r="G67" s="1">
        <v>2</v>
      </c>
      <c r="H67" s="1">
        <v>1</v>
      </c>
      <c r="I67" s="1">
        <v>2020</v>
      </c>
      <c r="J67" s="1">
        <v>4</v>
      </c>
      <c r="K67" s="1" t="s">
        <v>0</v>
      </c>
      <c r="L67" s="1">
        <v>1</v>
      </c>
      <c r="M67" s="1">
        <v>30</v>
      </c>
      <c r="N67" s="1">
        <v>0</v>
      </c>
      <c r="O67" s="1">
        <v>44242.89025462963</v>
      </c>
      <c r="P67" s="1">
        <v>30423467</v>
      </c>
      <c r="Q67" s="1">
        <v>31419033</v>
      </c>
      <c r="R67" s="1">
        <v>22415455</v>
      </c>
      <c r="S67" s="1">
        <v>23453602</v>
      </c>
      <c r="T67" s="1">
        <v>8008012</v>
      </c>
      <c r="U67" s="1">
        <v>7965431</v>
      </c>
      <c r="V67" s="1">
        <v>490721</v>
      </c>
      <c r="W67" s="1">
        <v>490721</v>
      </c>
      <c r="X67" s="1">
        <v>490721</v>
      </c>
      <c r="Y67" s="1">
        <v>490721</v>
      </c>
      <c r="Z67" s="1">
        <v>0</v>
      </c>
      <c r="AA67" s="1">
        <v>0</v>
      </c>
      <c r="AB67" s="1">
        <v>15147220</v>
      </c>
      <c r="AC67" s="1">
        <v>15149736</v>
      </c>
      <c r="AD67" s="1">
        <v>172206</v>
      </c>
      <c r="AE67" s="1">
        <v>172206</v>
      </c>
      <c r="AF67" s="1"/>
      <c r="AG67" s="1"/>
      <c r="AH67" s="1"/>
      <c r="AI67" s="1"/>
      <c r="AJ67" s="1">
        <v>8697836</v>
      </c>
      <c r="AK67" s="1">
        <v>8697836</v>
      </c>
      <c r="AL67" s="1">
        <v>6277178</v>
      </c>
      <c r="AM67" s="1">
        <v>6279694</v>
      </c>
      <c r="AN67" s="1">
        <v>428852</v>
      </c>
      <c r="AO67" s="1">
        <v>428852</v>
      </c>
      <c r="AP67" s="1">
        <v>8374237</v>
      </c>
      <c r="AQ67" s="1">
        <v>8922625</v>
      </c>
      <c r="AR67" s="1">
        <v>1389317</v>
      </c>
      <c r="AS67" s="1">
        <v>1167300</v>
      </c>
      <c r="AT67" s="1"/>
      <c r="AU67" s="1"/>
      <c r="AV67" s="2">
        <v>33347638</v>
      </c>
      <c r="AW67" s="1">
        <v>33633944</v>
      </c>
      <c r="AX67" s="1">
        <v>8366687</v>
      </c>
      <c r="AY67" s="1">
        <v>8971407</v>
      </c>
      <c r="AZ67" s="1">
        <v>8179187</v>
      </c>
      <c r="BA67" s="1">
        <v>8171258</v>
      </c>
      <c r="BB67" s="1">
        <v>33698</v>
      </c>
      <c r="BC67" s="1">
        <v>30400</v>
      </c>
      <c r="BD67" s="1">
        <v>153802</v>
      </c>
      <c r="BE67" s="1">
        <v>769749</v>
      </c>
      <c r="BF67" s="1"/>
      <c r="BG67" s="1"/>
      <c r="BH67" s="1"/>
      <c r="BI67" s="1"/>
      <c r="BJ67" s="1"/>
      <c r="BK67" s="1"/>
      <c r="BL67" s="1">
        <v>9126268</v>
      </c>
      <c r="BM67" s="1">
        <v>8429230</v>
      </c>
      <c r="BN67" s="1">
        <v>6159024</v>
      </c>
      <c r="BO67" s="1"/>
      <c r="BP67" s="1">
        <v>5933157</v>
      </c>
      <c r="BQ67" s="1">
        <v>5096400</v>
      </c>
      <c r="BR67" s="1"/>
      <c r="BS67" s="1"/>
      <c r="BT67" s="1"/>
      <c r="BU67" s="1"/>
      <c r="BV67" s="1">
        <v>15109</v>
      </c>
      <c r="BW67" s="1">
        <v>16544</v>
      </c>
      <c r="BX67" s="1">
        <v>516336</v>
      </c>
      <c r="BY67" s="1">
        <v>609646</v>
      </c>
      <c r="BZ67" s="1">
        <v>268572</v>
      </c>
      <c r="CA67" s="1"/>
      <c r="CB67" s="1">
        <v>9827</v>
      </c>
      <c r="CC67" s="1"/>
      <c r="CD67" s="1"/>
      <c r="CE67" s="1"/>
      <c r="CF67" s="1"/>
      <c r="CG67" s="1">
        <v>5000</v>
      </c>
      <c r="CH67" s="1">
        <v>2383267</v>
      </c>
      <c r="CI67" s="1">
        <v>2701640</v>
      </c>
      <c r="CJ67" s="1">
        <v>70336</v>
      </c>
      <c r="CK67" s="1">
        <v>64965</v>
      </c>
      <c r="CL67" s="1"/>
      <c r="CM67" s="1"/>
      <c r="CN67" s="1">
        <v>1504</v>
      </c>
      <c r="CO67" s="1">
        <v>4463</v>
      </c>
      <c r="CP67" s="1"/>
      <c r="CQ67" s="1"/>
      <c r="CR67" s="1">
        <v>68832</v>
      </c>
      <c r="CS67" s="1">
        <v>60502</v>
      </c>
      <c r="CT67" s="1">
        <v>3715036</v>
      </c>
      <c r="CU67" s="1">
        <v>3715036</v>
      </c>
      <c r="CV67" s="1">
        <v>20340</v>
      </c>
      <c r="CW67" s="1">
        <v>20340</v>
      </c>
      <c r="CX67" s="2">
        <v>21298667</v>
      </c>
      <c r="CY67" s="1">
        <v>21200978</v>
      </c>
      <c r="CZ67" s="1">
        <v>54646305</v>
      </c>
      <c r="DA67" s="1">
        <v>54834922</v>
      </c>
      <c r="DB67" s="1">
        <v>1231330</v>
      </c>
      <c r="DC67" s="1">
        <v>1231330</v>
      </c>
      <c r="DD67" s="1">
        <v>19929</v>
      </c>
      <c r="DE67" s="1">
        <v>19929</v>
      </c>
      <c r="DF67" s="1">
        <v>15050321</v>
      </c>
      <c r="DG67" s="1">
        <v>16349365</v>
      </c>
      <c r="DH67" s="1"/>
      <c r="DI67" s="1"/>
      <c r="DJ67" s="1">
        <v>16653274</v>
      </c>
      <c r="DK67" s="1">
        <v>14605558</v>
      </c>
      <c r="DL67" s="24"/>
      <c r="DM67" s="24"/>
      <c r="DN67" s="1"/>
      <c r="DO67" s="1"/>
      <c r="DP67" s="2">
        <v>32954854</v>
      </c>
      <c r="DQ67" s="1">
        <v>32206182</v>
      </c>
      <c r="DR67" s="2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2">
        <v>21691451</v>
      </c>
      <c r="EQ67" s="1">
        <v>22628740</v>
      </c>
      <c r="ER67" s="1">
        <v>12800137</v>
      </c>
      <c r="ES67" s="1">
        <v>15474512</v>
      </c>
      <c r="ET67" s="1">
        <v>5399291</v>
      </c>
      <c r="EU67" s="1"/>
      <c r="EV67" s="1">
        <v>1613515</v>
      </c>
      <c r="EW67" s="1">
        <v>2020070</v>
      </c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>
        <v>5877983</v>
      </c>
      <c r="FI67" s="1">
        <v>8088205</v>
      </c>
      <c r="FJ67" s="1">
        <v>874915</v>
      </c>
      <c r="FK67" s="1">
        <v>1236461</v>
      </c>
      <c r="FL67" s="1"/>
      <c r="FM67" s="1"/>
      <c r="FN67" s="1">
        <v>1016380</v>
      </c>
      <c r="FO67" s="1">
        <v>1417089</v>
      </c>
      <c r="FP67" s="1">
        <v>326435</v>
      </c>
      <c r="FQ67" s="1">
        <v>326435</v>
      </c>
      <c r="FR67" s="1">
        <v>350045</v>
      </c>
      <c r="FS67" s="1">
        <v>294843</v>
      </c>
      <c r="FT67" s="1">
        <v>393252</v>
      </c>
      <c r="FU67" s="1"/>
      <c r="FV67" s="1">
        <v>8498062</v>
      </c>
      <c r="FW67" s="1">
        <v>7154228</v>
      </c>
      <c r="FX67" s="1"/>
      <c r="FY67" s="1"/>
      <c r="FZ67" s="1">
        <v>2740864</v>
      </c>
      <c r="GA67" s="1">
        <v>2091409</v>
      </c>
      <c r="GB67" s="1">
        <v>21691451</v>
      </c>
      <c r="GC67" s="1">
        <v>22628740</v>
      </c>
      <c r="GD67" s="1">
        <v>54646305</v>
      </c>
      <c r="GE67" s="1">
        <v>54834922</v>
      </c>
    </row>
    <row r="68" spans="1:187" s="3" customFormat="1" ht="12" x14ac:dyDescent="0.2">
      <c r="A68" s="1">
        <v>20006</v>
      </c>
      <c r="B68" s="1">
        <v>0</v>
      </c>
      <c r="C68" s="1">
        <v>200465215</v>
      </c>
      <c r="D68" s="1" t="s">
        <v>133</v>
      </c>
      <c r="E68" s="1">
        <v>27</v>
      </c>
      <c r="F68" s="1">
        <v>19</v>
      </c>
      <c r="G68" s="1">
        <v>2</v>
      </c>
      <c r="H68" s="1">
        <v>1</v>
      </c>
      <c r="I68" s="1">
        <v>2019</v>
      </c>
      <c r="J68" s="1">
        <v>4</v>
      </c>
      <c r="K68" s="1" t="s">
        <v>0</v>
      </c>
      <c r="L68" s="1">
        <v>1</v>
      </c>
      <c r="M68" s="1">
        <v>30</v>
      </c>
      <c r="N68" s="1">
        <v>0</v>
      </c>
      <c r="O68" s="1">
        <v>43876.87</v>
      </c>
      <c r="P68" s="1">
        <v>28398166</v>
      </c>
      <c r="Q68" s="1">
        <v>30423467</v>
      </c>
      <c r="R68" s="1">
        <v>21179763</v>
      </c>
      <c r="S68" s="1">
        <v>22415455</v>
      </c>
      <c r="T68" s="1">
        <v>7218403</v>
      </c>
      <c r="U68" s="1">
        <v>8008012</v>
      </c>
      <c r="V68" s="1">
        <v>490721</v>
      </c>
      <c r="W68" s="1">
        <v>490721</v>
      </c>
      <c r="X68" s="1">
        <v>490721</v>
      </c>
      <c r="Y68" s="1">
        <v>490721</v>
      </c>
      <c r="Z68" s="1">
        <v>0</v>
      </c>
      <c r="AA68" s="1">
        <v>0</v>
      </c>
      <c r="AB68" s="1">
        <v>14547978</v>
      </c>
      <c r="AC68" s="1">
        <v>15147220</v>
      </c>
      <c r="AD68" s="1">
        <v>172206</v>
      </c>
      <c r="AE68" s="1">
        <v>172206</v>
      </c>
      <c r="AF68" s="1">
        <v>83518</v>
      </c>
      <c r="AG68" s="1"/>
      <c r="AH68" s="1"/>
      <c r="AI68" s="1"/>
      <c r="AJ68" s="1">
        <v>8697836</v>
      </c>
      <c r="AK68" s="1">
        <v>8697836</v>
      </c>
      <c r="AL68" s="1">
        <v>5594418</v>
      </c>
      <c r="AM68" s="1">
        <v>6277178</v>
      </c>
      <c r="AN68" s="1">
        <v>464350</v>
      </c>
      <c r="AO68" s="1">
        <v>428852</v>
      </c>
      <c r="AP68" s="1">
        <v>7740728</v>
      </c>
      <c r="AQ68" s="1">
        <v>8374237</v>
      </c>
      <c r="AR68" s="1">
        <v>1402081</v>
      </c>
      <c r="AS68" s="1">
        <v>1389317</v>
      </c>
      <c r="AT68" s="1"/>
      <c r="AU68" s="1"/>
      <c r="AV68" s="2">
        <v>31373540</v>
      </c>
      <c r="AW68" s="1">
        <v>33347638</v>
      </c>
      <c r="AX68" s="1">
        <v>10629329</v>
      </c>
      <c r="AY68" s="1">
        <v>8366687</v>
      </c>
      <c r="AZ68" s="1">
        <v>8846533</v>
      </c>
      <c r="BA68" s="1">
        <v>8179187</v>
      </c>
      <c r="BB68" s="1">
        <v>33685</v>
      </c>
      <c r="BC68" s="1">
        <v>33698</v>
      </c>
      <c r="BD68" s="1">
        <v>1749111</v>
      </c>
      <c r="BE68" s="1">
        <v>153802</v>
      </c>
      <c r="BF68" s="1"/>
      <c r="BG68" s="1"/>
      <c r="BH68" s="1">
        <v>969</v>
      </c>
      <c r="BI68" s="1"/>
      <c r="BJ68" s="1"/>
      <c r="BK68" s="1"/>
      <c r="BL68" s="1">
        <v>6538506</v>
      </c>
      <c r="BM68" s="1">
        <v>9126268</v>
      </c>
      <c r="BN68" s="1">
        <v>4495879</v>
      </c>
      <c r="BO68" s="1">
        <v>6159024</v>
      </c>
      <c r="BP68" s="1">
        <v>2772648</v>
      </c>
      <c r="BQ68" s="1">
        <v>5933157</v>
      </c>
      <c r="BR68" s="1"/>
      <c r="BS68" s="1"/>
      <c r="BT68" s="1"/>
      <c r="BU68" s="1"/>
      <c r="BV68" s="1">
        <v>18961</v>
      </c>
      <c r="BW68" s="1">
        <v>15109</v>
      </c>
      <c r="BX68" s="1">
        <v>859837</v>
      </c>
      <c r="BY68" s="1">
        <v>516336</v>
      </c>
      <c r="BZ68" s="1">
        <v>143994</v>
      </c>
      <c r="CA68" s="1">
        <v>268572</v>
      </c>
      <c r="CB68" s="1"/>
      <c r="CC68" s="1">
        <v>9827</v>
      </c>
      <c r="CD68" s="1"/>
      <c r="CE68" s="1"/>
      <c r="CF68" s="1"/>
      <c r="CG68" s="1"/>
      <c r="CH68" s="1">
        <v>2743066</v>
      </c>
      <c r="CI68" s="1">
        <v>2383267</v>
      </c>
      <c r="CJ68" s="1">
        <v>154376</v>
      </c>
      <c r="CK68" s="1">
        <v>70336</v>
      </c>
      <c r="CL68" s="1"/>
      <c r="CM68" s="1"/>
      <c r="CN68" s="1">
        <v>8982</v>
      </c>
      <c r="CO68" s="1">
        <v>1504</v>
      </c>
      <c r="CP68" s="1"/>
      <c r="CQ68" s="1"/>
      <c r="CR68" s="1">
        <v>145394</v>
      </c>
      <c r="CS68" s="1">
        <v>68832</v>
      </c>
      <c r="CT68" s="1">
        <v>2408798</v>
      </c>
      <c r="CU68" s="1">
        <v>3715036</v>
      </c>
      <c r="CV68" s="1">
        <v>20340</v>
      </c>
      <c r="CW68" s="1">
        <v>20340</v>
      </c>
      <c r="CX68" s="2">
        <v>19752318</v>
      </c>
      <c r="CY68" s="1">
        <v>21298667</v>
      </c>
      <c r="CZ68" s="1">
        <v>51125858</v>
      </c>
      <c r="DA68" s="1">
        <v>54646305</v>
      </c>
      <c r="DB68" s="1">
        <v>1231330</v>
      </c>
      <c r="DC68" s="1">
        <v>1231330</v>
      </c>
      <c r="DD68" s="1">
        <v>19929</v>
      </c>
      <c r="DE68" s="1">
        <v>19929</v>
      </c>
      <c r="DF68" s="1">
        <v>13559033</v>
      </c>
      <c r="DG68" s="1">
        <v>15050321</v>
      </c>
      <c r="DH68" s="1"/>
      <c r="DI68" s="1"/>
      <c r="DJ68" s="1">
        <v>18701475</v>
      </c>
      <c r="DK68" s="1">
        <v>16653274</v>
      </c>
      <c r="DL68" s="24"/>
      <c r="DM68" s="24"/>
      <c r="DN68" s="1"/>
      <c r="DO68" s="1"/>
      <c r="DP68" s="2">
        <v>33511767</v>
      </c>
      <c r="DQ68" s="1">
        <v>32954854</v>
      </c>
      <c r="DR68" s="2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2">
        <v>17614091</v>
      </c>
      <c r="EQ68" s="1">
        <v>21691451</v>
      </c>
      <c r="ER68" s="1">
        <v>5335797</v>
      </c>
      <c r="ES68" s="1">
        <v>12800137</v>
      </c>
      <c r="ET68" s="1">
        <v>1134692</v>
      </c>
      <c r="EU68" s="1">
        <v>5399291</v>
      </c>
      <c r="EV68" s="1">
        <v>1483479</v>
      </c>
      <c r="EW68" s="1">
        <v>1613515</v>
      </c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>
        <v>396258</v>
      </c>
      <c r="FI68" s="1">
        <v>5877983</v>
      </c>
      <c r="FJ68" s="1">
        <v>547907</v>
      </c>
      <c r="FK68" s="1">
        <v>874915</v>
      </c>
      <c r="FL68" s="1"/>
      <c r="FM68" s="1"/>
      <c r="FN68" s="1">
        <v>615792</v>
      </c>
      <c r="FO68" s="1">
        <v>1016380</v>
      </c>
      <c r="FP68" s="1">
        <v>326435</v>
      </c>
      <c r="FQ68" s="1">
        <v>326435</v>
      </c>
      <c r="FR68" s="1">
        <v>431055</v>
      </c>
      <c r="FS68" s="1">
        <v>350045</v>
      </c>
      <c r="FT68" s="1">
        <v>3712785</v>
      </c>
      <c r="FU68" s="1">
        <v>393252</v>
      </c>
      <c r="FV68" s="1">
        <v>8565509</v>
      </c>
      <c r="FW68" s="1">
        <v>8498062</v>
      </c>
      <c r="FX68" s="1"/>
      <c r="FY68" s="1"/>
      <c r="FZ68" s="1">
        <v>1534871</v>
      </c>
      <c r="GA68" s="1">
        <v>2740864</v>
      </c>
      <c r="GB68" s="1">
        <v>17614091</v>
      </c>
      <c r="GC68" s="1">
        <v>21691451</v>
      </c>
      <c r="GD68" s="1">
        <v>51125858</v>
      </c>
      <c r="GE68" s="1">
        <v>54646305</v>
      </c>
    </row>
    <row r="69" spans="1:187" s="3" customFormat="1" x14ac:dyDescent="0.25">
      <c r="A69" s="1">
        <v>20006</v>
      </c>
      <c r="B69" s="1">
        <v>0</v>
      </c>
      <c r="C69" s="3">
        <v>200465215</v>
      </c>
      <c r="D69" s="3" t="s">
        <v>133</v>
      </c>
      <c r="E69" s="4">
        <v>27</v>
      </c>
      <c r="F69" s="4">
        <v>19</v>
      </c>
      <c r="G69" s="4">
        <v>2</v>
      </c>
      <c r="H69" s="4">
        <v>1</v>
      </c>
      <c r="I69" s="1">
        <v>2018</v>
      </c>
      <c r="J69" s="1">
        <v>4</v>
      </c>
      <c r="K69" s="3" t="s">
        <v>0</v>
      </c>
      <c r="L69" s="1">
        <v>1</v>
      </c>
      <c r="M69" s="1">
        <v>30</v>
      </c>
      <c r="N69" s="5">
        <v>0</v>
      </c>
      <c r="O69" s="6">
        <v>43511.949490740742</v>
      </c>
      <c r="P69" s="1">
        <v>25724216</v>
      </c>
      <c r="Q69" s="1">
        <v>28078166</v>
      </c>
      <c r="R69" s="1">
        <v>19309768</v>
      </c>
      <c r="S69" s="1">
        <v>21175763</v>
      </c>
      <c r="T69" s="1">
        <v>6414448</v>
      </c>
      <c r="U69" s="1">
        <v>6902403</v>
      </c>
      <c r="V69" s="1">
        <v>490721</v>
      </c>
      <c r="W69" s="1">
        <v>490721</v>
      </c>
      <c r="X69" s="1">
        <v>477971</v>
      </c>
      <c r="Y69" s="1">
        <v>490721</v>
      </c>
      <c r="Z69" s="1">
        <v>12750</v>
      </c>
      <c r="AA69" s="1">
        <v>0</v>
      </c>
      <c r="AB69" s="1">
        <v>13192978</v>
      </c>
      <c r="AC69" s="1">
        <v>14547978</v>
      </c>
      <c r="AD69" s="1">
        <v>172206</v>
      </c>
      <c r="AE69" s="1">
        <v>172206</v>
      </c>
      <c r="AF69" s="1"/>
      <c r="AG69" s="1">
        <v>83518</v>
      </c>
      <c r="AH69" s="1"/>
      <c r="AI69" s="1"/>
      <c r="AJ69" s="1">
        <v>8697836</v>
      </c>
      <c r="AK69" s="1">
        <v>8697836</v>
      </c>
      <c r="AL69" s="1">
        <v>4322936</v>
      </c>
      <c r="AM69" s="1">
        <v>5594418</v>
      </c>
      <c r="AN69" s="1">
        <v>371478</v>
      </c>
      <c r="AO69" s="1">
        <v>464350</v>
      </c>
      <c r="AP69" s="1">
        <v>7170577</v>
      </c>
      <c r="AQ69" s="1">
        <v>7740728</v>
      </c>
      <c r="AR69" s="1">
        <v>1382455</v>
      </c>
      <c r="AS69" s="1">
        <v>1402081</v>
      </c>
      <c r="AT69" s="1"/>
      <c r="AU69" s="1"/>
      <c r="AV69" s="2">
        <v>28544686</v>
      </c>
      <c r="AW69" s="1">
        <v>31057540</v>
      </c>
      <c r="AX69" s="1">
        <v>11525497</v>
      </c>
      <c r="AY69" s="1">
        <v>11092360</v>
      </c>
      <c r="AZ69" s="1">
        <v>11094738</v>
      </c>
      <c r="BA69" s="1">
        <v>8888297</v>
      </c>
      <c r="BB69" s="1">
        <v>3637</v>
      </c>
      <c r="BC69" s="1">
        <v>556223</v>
      </c>
      <c r="BD69" s="1">
        <v>427122</v>
      </c>
      <c r="BE69" s="1">
        <v>1647840</v>
      </c>
      <c r="BF69" s="1"/>
      <c r="BG69" s="1"/>
      <c r="BH69" s="1">
        <v>20332</v>
      </c>
      <c r="BI69" s="1">
        <v>969</v>
      </c>
      <c r="BJ69" s="1"/>
      <c r="BK69" s="1"/>
      <c r="BL69" s="1">
        <v>1966387</v>
      </c>
      <c r="BM69" s="1">
        <v>5501849</v>
      </c>
      <c r="BN69" s="1"/>
      <c r="BO69" s="1"/>
      <c r="BP69" s="1">
        <v>1255012</v>
      </c>
      <c r="BQ69" s="1">
        <v>2122797</v>
      </c>
      <c r="BR69" s="1"/>
      <c r="BS69" s="1"/>
      <c r="BT69" s="1"/>
      <c r="BU69" s="1"/>
      <c r="BV69" s="1">
        <v>54687</v>
      </c>
      <c r="BW69" s="1">
        <v>18961</v>
      </c>
      <c r="BX69" s="1">
        <v>499564</v>
      </c>
      <c r="BY69" s="1">
        <v>859837</v>
      </c>
      <c r="BZ69" s="1">
        <v>58873</v>
      </c>
      <c r="CA69" s="1">
        <v>143994</v>
      </c>
      <c r="CB69" s="1"/>
      <c r="CC69" s="1"/>
      <c r="CD69" s="1"/>
      <c r="CE69" s="1"/>
      <c r="CF69" s="1"/>
      <c r="CG69" s="1"/>
      <c r="CH69" s="1">
        <v>98251</v>
      </c>
      <c r="CI69" s="1">
        <v>2356260</v>
      </c>
      <c r="CJ69" s="1">
        <v>523640</v>
      </c>
      <c r="CK69" s="1">
        <v>541692</v>
      </c>
      <c r="CL69" s="1"/>
      <c r="CM69" s="1"/>
      <c r="CN69" s="1">
        <v>18663</v>
      </c>
      <c r="CO69" s="1">
        <v>8982</v>
      </c>
      <c r="CP69" s="1">
        <v>387316</v>
      </c>
      <c r="CQ69" s="1">
        <v>387316</v>
      </c>
      <c r="CR69" s="1">
        <v>117661</v>
      </c>
      <c r="CS69" s="1">
        <v>145394</v>
      </c>
      <c r="CT69" s="1">
        <v>1445995</v>
      </c>
      <c r="CU69" s="1">
        <v>2408798</v>
      </c>
      <c r="CV69" s="1">
        <v>20340</v>
      </c>
      <c r="CW69" s="1">
        <v>20340</v>
      </c>
      <c r="CX69" s="2">
        <v>15502191</v>
      </c>
      <c r="CY69" s="1">
        <v>19566008</v>
      </c>
      <c r="CZ69" s="1">
        <v>44046877</v>
      </c>
      <c r="DA69" s="1">
        <v>50623548</v>
      </c>
      <c r="DB69" s="1">
        <v>1231330</v>
      </c>
      <c r="DC69" s="1">
        <v>1231330</v>
      </c>
      <c r="DD69" s="1">
        <v>19929</v>
      </c>
      <c r="DE69" s="1">
        <v>19929</v>
      </c>
      <c r="DF69" s="1">
        <v>11399925</v>
      </c>
      <c r="DG69" s="1">
        <v>13559033</v>
      </c>
      <c r="DH69" s="1"/>
      <c r="DI69" s="1"/>
      <c r="DJ69" s="1">
        <v>20571120</v>
      </c>
      <c r="DK69" s="1">
        <v>19513831</v>
      </c>
      <c r="DL69" s="24"/>
      <c r="DM69" s="24"/>
      <c r="DN69" s="1"/>
      <c r="DO69" s="1"/>
      <c r="DP69" s="2">
        <v>33222304</v>
      </c>
      <c r="DQ69" s="1">
        <v>34324123</v>
      </c>
      <c r="DR69" s="2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2">
        <v>10824573</v>
      </c>
      <c r="EQ69" s="1">
        <v>16299425</v>
      </c>
      <c r="ER69" s="1">
        <v>6824573</v>
      </c>
      <c r="ES69" s="1">
        <v>4021131</v>
      </c>
      <c r="ET69" s="1"/>
      <c r="EU69" s="1"/>
      <c r="EV69" s="1">
        <v>348884</v>
      </c>
      <c r="EW69" s="1">
        <v>1163479</v>
      </c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>
        <v>4184993</v>
      </c>
      <c r="FI69" s="1">
        <v>369290</v>
      </c>
      <c r="FJ69" s="1">
        <v>1060823</v>
      </c>
      <c r="FK69" s="1">
        <v>459113</v>
      </c>
      <c r="FL69" s="1"/>
      <c r="FM69" s="1"/>
      <c r="FN69" s="1">
        <v>468143</v>
      </c>
      <c r="FO69" s="1">
        <v>615791</v>
      </c>
      <c r="FP69" s="1">
        <v>347374</v>
      </c>
      <c r="FQ69" s="1">
        <v>326435</v>
      </c>
      <c r="FR69" s="1">
        <v>246987</v>
      </c>
      <c r="FS69" s="1">
        <v>431055</v>
      </c>
      <c r="FT69" s="1">
        <v>4000000</v>
      </c>
      <c r="FU69" s="1">
        <v>3712785</v>
      </c>
      <c r="FV69" s="1"/>
      <c r="FW69" s="1">
        <v>8565509</v>
      </c>
      <c r="FX69" s="1"/>
      <c r="FY69" s="1"/>
      <c r="FZ69" s="1">
        <v>167369</v>
      </c>
      <c r="GA69" s="1">
        <v>655968</v>
      </c>
      <c r="GB69" s="1">
        <v>10824573</v>
      </c>
      <c r="GC69" s="1">
        <v>16299425</v>
      </c>
      <c r="GD69" s="1">
        <v>44046877</v>
      </c>
      <c r="GE69" s="1">
        <v>50623548</v>
      </c>
    </row>
    <row r="70" spans="1:187" s="3" customFormat="1" ht="12" x14ac:dyDescent="0.2">
      <c r="A70" s="1">
        <v>20006</v>
      </c>
      <c r="B70" s="1">
        <v>0</v>
      </c>
      <c r="C70" s="1">
        <v>200479996</v>
      </c>
      <c r="D70" s="1" t="s">
        <v>134</v>
      </c>
      <c r="E70" s="1">
        <v>22</v>
      </c>
      <c r="F70" s="1">
        <v>7</v>
      </c>
      <c r="G70" s="1">
        <v>0</v>
      </c>
      <c r="H70" s="1">
        <v>1</v>
      </c>
      <c r="I70" s="1">
        <v>2021</v>
      </c>
      <c r="J70" s="1">
        <v>4</v>
      </c>
      <c r="K70" s="1" t="s">
        <v>0</v>
      </c>
      <c r="L70" s="1">
        <v>2</v>
      </c>
      <c r="M70" s="1">
        <v>30</v>
      </c>
      <c r="N70" s="1">
        <v>0</v>
      </c>
      <c r="O70" s="1">
        <v>44607.650312500002</v>
      </c>
      <c r="P70" s="1">
        <v>42863372.409999996</v>
      </c>
      <c r="Q70" s="1">
        <v>42426003</v>
      </c>
      <c r="R70" s="1">
        <v>24038565.84</v>
      </c>
      <c r="S70" s="1">
        <v>26191008</v>
      </c>
      <c r="T70" s="1">
        <v>18824806.57</v>
      </c>
      <c r="U70" s="1">
        <v>16234995</v>
      </c>
      <c r="V70" s="1"/>
      <c r="W70" s="1"/>
      <c r="X70" s="1"/>
      <c r="Y70" s="1"/>
      <c r="Z70" s="1"/>
      <c r="AA70" s="1"/>
      <c r="AB70" s="1">
        <v>3213096.61</v>
      </c>
      <c r="AC70" s="1">
        <v>3213096.61</v>
      </c>
      <c r="AD70" s="1">
        <v>3837.9</v>
      </c>
      <c r="AE70" s="1">
        <v>3837.9</v>
      </c>
      <c r="AF70" s="1">
        <v>214000</v>
      </c>
      <c r="AG70" s="1">
        <v>214000</v>
      </c>
      <c r="AH70" s="1"/>
      <c r="AI70" s="1"/>
      <c r="AJ70" s="1">
        <v>2980258.71</v>
      </c>
      <c r="AK70" s="1">
        <v>2980258.71</v>
      </c>
      <c r="AL70" s="1">
        <v>15000</v>
      </c>
      <c r="AM70" s="1">
        <v>15000</v>
      </c>
      <c r="AN70" s="1"/>
      <c r="AO70" s="1"/>
      <c r="AP70" s="1">
        <v>144809.16</v>
      </c>
      <c r="AQ70" s="1"/>
      <c r="AR70" s="1">
        <v>1102447.42</v>
      </c>
      <c r="AS70" s="1">
        <v>1058399</v>
      </c>
      <c r="AT70" s="1"/>
      <c r="AU70" s="1"/>
      <c r="AV70" s="2">
        <v>23285159.760000002</v>
      </c>
      <c r="AW70" s="1">
        <v>20506490.609999999</v>
      </c>
      <c r="AX70" s="1">
        <v>41116774.890000001</v>
      </c>
      <c r="AY70" s="1">
        <v>37979475.619999997</v>
      </c>
      <c r="AZ70" s="1">
        <v>8134902.7800000003</v>
      </c>
      <c r="BA70" s="1">
        <v>4735245</v>
      </c>
      <c r="BB70" s="1"/>
      <c r="BC70" s="1"/>
      <c r="BD70" s="1">
        <v>32936469.489999998</v>
      </c>
      <c r="BE70" s="1">
        <v>33198828</v>
      </c>
      <c r="BF70" s="1">
        <v>45402.62</v>
      </c>
      <c r="BG70" s="1">
        <v>45402.62</v>
      </c>
      <c r="BH70" s="1">
        <v>3644</v>
      </c>
      <c r="BI70" s="1">
        <v>-13000</v>
      </c>
      <c r="BJ70" s="1"/>
      <c r="BK70" s="1"/>
      <c r="BL70" s="1">
        <v>13544133.07</v>
      </c>
      <c r="BM70" s="1">
        <v>9879699.5199999996</v>
      </c>
      <c r="BN70" s="1"/>
      <c r="BO70" s="1"/>
      <c r="BP70" s="1">
        <v>1215644.43</v>
      </c>
      <c r="BQ70" s="1">
        <v>1040598</v>
      </c>
      <c r="BR70" s="1"/>
      <c r="BS70" s="1"/>
      <c r="BT70" s="1"/>
      <c r="BU70" s="1"/>
      <c r="BV70" s="1">
        <v>1033900.69</v>
      </c>
      <c r="BW70" s="1">
        <v>171726</v>
      </c>
      <c r="BX70" s="1">
        <v>9436526.3300000001</v>
      </c>
      <c r="BY70" s="1">
        <v>6323212</v>
      </c>
      <c r="BZ70" s="1">
        <v>1014761.77</v>
      </c>
      <c r="CA70" s="1">
        <v>2092858</v>
      </c>
      <c r="CB70" s="1">
        <v>278.52</v>
      </c>
      <c r="CC70" s="1">
        <v>278.52</v>
      </c>
      <c r="CD70" s="1"/>
      <c r="CE70" s="1"/>
      <c r="CF70" s="1"/>
      <c r="CG70" s="1"/>
      <c r="CH70" s="1">
        <v>843021.33</v>
      </c>
      <c r="CI70" s="1">
        <v>251027</v>
      </c>
      <c r="CJ70" s="1">
        <v>30615.61</v>
      </c>
      <c r="CK70" s="1">
        <v>37.67</v>
      </c>
      <c r="CL70" s="1"/>
      <c r="CM70" s="1"/>
      <c r="CN70" s="1">
        <v>12077.46</v>
      </c>
      <c r="CO70" s="1"/>
      <c r="CP70" s="1">
        <v>25.67</v>
      </c>
      <c r="CQ70" s="1">
        <v>25.67</v>
      </c>
      <c r="CR70" s="1">
        <v>18512.48</v>
      </c>
      <c r="CS70" s="1">
        <v>12</v>
      </c>
      <c r="CT70" s="1">
        <v>126419.21</v>
      </c>
      <c r="CU70" s="1">
        <v>18013</v>
      </c>
      <c r="CV70" s="1"/>
      <c r="CW70" s="1"/>
      <c r="CX70" s="2">
        <v>54821586.780000001</v>
      </c>
      <c r="CY70" s="1">
        <v>47864225.810000002</v>
      </c>
      <c r="CZ70" s="1">
        <v>78106746.540000007</v>
      </c>
      <c r="DA70" s="1">
        <v>68370716.420000002</v>
      </c>
      <c r="DB70" s="1">
        <v>9899234.4000000004</v>
      </c>
      <c r="DC70" s="1">
        <v>9899234.4000000004</v>
      </c>
      <c r="DD70" s="1"/>
      <c r="DE70" s="1"/>
      <c r="DF70" s="1">
        <v>9504260.6899999995</v>
      </c>
      <c r="DG70" s="1">
        <v>9436566</v>
      </c>
      <c r="DH70" s="1"/>
      <c r="DI70" s="1"/>
      <c r="DJ70" s="1">
        <v>577269.16</v>
      </c>
      <c r="DK70" s="1">
        <v>-10557949</v>
      </c>
      <c r="DL70" s="24"/>
      <c r="DM70" s="24"/>
      <c r="DN70" s="1"/>
      <c r="DO70" s="1"/>
      <c r="DP70" s="2">
        <v>19980764.25</v>
      </c>
      <c r="DQ70" s="1">
        <v>8777851.4000000004</v>
      </c>
      <c r="DR70" s="2">
        <v>40902479.009999998</v>
      </c>
      <c r="DS70" s="1">
        <v>35923674</v>
      </c>
      <c r="DT70" s="1">
        <v>0</v>
      </c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>
        <v>40902479.009999998</v>
      </c>
      <c r="EK70" s="1">
        <v>35923674</v>
      </c>
      <c r="EL70" s="1"/>
      <c r="EM70" s="1"/>
      <c r="EN70" s="1"/>
      <c r="EO70" s="1"/>
      <c r="EP70" s="2">
        <v>17223503.280000001</v>
      </c>
      <c r="EQ70" s="1">
        <v>23669190</v>
      </c>
      <c r="ER70" s="1">
        <v>17017263.280000001</v>
      </c>
      <c r="ES70" s="1">
        <v>13196407</v>
      </c>
      <c r="ET70" s="1"/>
      <c r="EU70" s="1"/>
      <c r="EV70" s="1">
        <v>12842504.890000001</v>
      </c>
      <c r="EW70" s="1">
        <v>9490632</v>
      </c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>
        <v>2439148.38</v>
      </c>
      <c r="FI70" s="1">
        <v>1868159</v>
      </c>
      <c r="FJ70" s="1">
        <v>636518.16</v>
      </c>
      <c r="FK70" s="1">
        <v>535700</v>
      </c>
      <c r="FL70" s="1"/>
      <c r="FM70" s="1"/>
      <c r="FN70" s="1">
        <v>208482.11</v>
      </c>
      <c r="FO70" s="1">
        <v>312327</v>
      </c>
      <c r="FP70" s="1">
        <v>360639.76</v>
      </c>
      <c r="FQ70" s="1">
        <v>333530</v>
      </c>
      <c r="FR70" s="1">
        <v>519590.22</v>
      </c>
      <c r="FS70" s="1">
        <v>545412</v>
      </c>
      <c r="FT70" s="1"/>
      <c r="FU70" s="1">
        <v>6766543</v>
      </c>
      <c r="FV70" s="1">
        <v>206240</v>
      </c>
      <c r="FW70" s="1">
        <v>3706240</v>
      </c>
      <c r="FX70" s="1"/>
      <c r="FY70" s="1"/>
      <c r="FZ70" s="1">
        <v>10379.76</v>
      </c>
      <c r="GA70" s="1">
        <v>110647</v>
      </c>
      <c r="GB70" s="1">
        <v>58125982.289999999</v>
      </c>
      <c r="GC70" s="1">
        <v>59592864</v>
      </c>
      <c r="GD70" s="1">
        <v>78106746.540000007</v>
      </c>
      <c r="GE70" s="1">
        <v>68370715.400000006</v>
      </c>
    </row>
    <row r="71" spans="1:187" s="3" customFormat="1" ht="12" x14ac:dyDescent="0.2">
      <c r="A71" s="1">
        <v>20006</v>
      </c>
      <c r="B71" s="1">
        <v>0</v>
      </c>
      <c r="C71" s="1">
        <v>200479996</v>
      </c>
      <c r="D71" s="1" t="s">
        <v>134</v>
      </c>
      <c r="E71" s="1">
        <v>22</v>
      </c>
      <c r="F71" s="1">
        <v>7</v>
      </c>
      <c r="G71" s="1">
        <v>0</v>
      </c>
      <c r="H71" s="1">
        <v>1</v>
      </c>
      <c r="I71" s="1">
        <v>2020</v>
      </c>
      <c r="J71" s="1">
        <v>4</v>
      </c>
      <c r="K71" s="1" t="s">
        <v>0</v>
      </c>
      <c r="L71" s="1">
        <v>1</v>
      </c>
      <c r="M71" s="1">
        <v>30</v>
      </c>
      <c r="N71" s="1">
        <v>0</v>
      </c>
      <c r="O71" s="1">
        <v>44243.654756944445</v>
      </c>
      <c r="P71" s="1">
        <v>39061620.93</v>
      </c>
      <c r="Q71" s="1">
        <v>42863372.409999996</v>
      </c>
      <c r="R71" s="1">
        <v>20188975.370000001</v>
      </c>
      <c r="S71" s="1">
        <v>24038565.84</v>
      </c>
      <c r="T71" s="1">
        <v>18872645.559999999</v>
      </c>
      <c r="U71" s="1">
        <v>18824806.57</v>
      </c>
      <c r="V71" s="1"/>
      <c r="W71" s="1"/>
      <c r="X71" s="1"/>
      <c r="Y71" s="1"/>
      <c r="Z71" s="1"/>
      <c r="AA71" s="1"/>
      <c r="AB71" s="1">
        <v>2998096.61</v>
      </c>
      <c r="AC71" s="1">
        <v>3213096.61</v>
      </c>
      <c r="AD71" s="1">
        <v>3837.9</v>
      </c>
      <c r="AE71" s="1">
        <v>3837.9</v>
      </c>
      <c r="AF71" s="1">
        <v>214000</v>
      </c>
      <c r="AG71" s="1">
        <v>214000</v>
      </c>
      <c r="AH71" s="1"/>
      <c r="AI71" s="1"/>
      <c r="AJ71" s="1">
        <v>2765258.71</v>
      </c>
      <c r="AK71" s="1">
        <v>2980258.71</v>
      </c>
      <c r="AL71" s="1">
        <v>15000</v>
      </c>
      <c r="AM71" s="1">
        <v>15000</v>
      </c>
      <c r="AN71" s="1"/>
      <c r="AO71" s="1"/>
      <c r="AP71" s="1"/>
      <c r="AQ71" s="1">
        <v>144809.16</v>
      </c>
      <c r="AR71" s="1">
        <v>1203982.19</v>
      </c>
      <c r="AS71" s="1">
        <v>1102447.42</v>
      </c>
      <c r="AT71" s="1"/>
      <c r="AU71" s="1"/>
      <c r="AV71" s="2">
        <v>23074724.359999999</v>
      </c>
      <c r="AW71" s="1">
        <v>23285159.760000002</v>
      </c>
      <c r="AX71" s="1">
        <v>46501596.149999999</v>
      </c>
      <c r="AY71" s="1">
        <v>41116774.890000001</v>
      </c>
      <c r="AZ71" s="1">
        <v>11953246.390000001</v>
      </c>
      <c r="BA71" s="1">
        <v>8134902.7800000003</v>
      </c>
      <c r="BB71" s="1"/>
      <c r="BC71" s="1"/>
      <c r="BD71" s="1">
        <v>34502947.140000001</v>
      </c>
      <c r="BE71" s="1">
        <v>32936469.489999998</v>
      </c>
      <c r="BF71" s="1">
        <v>45402.62</v>
      </c>
      <c r="BG71" s="1">
        <v>45402.62</v>
      </c>
      <c r="BH71" s="1">
        <v>19288</v>
      </c>
      <c r="BI71" s="1">
        <v>3644</v>
      </c>
      <c r="BJ71" s="1"/>
      <c r="BK71" s="1"/>
      <c r="BL71" s="1">
        <v>8091757.6799999997</v>
      </c>
      <c r="BM71" s="1">
        <v>13544133.07</v>
      </c>
      <c r="BN71" s="1">
        <v>203224.2</v>
      </c>
      <c r="BO71" s="1">
        <v>122234.6</v>
      </c>
      <c r="BP71" s="1">
        <v>2520988.25</v>
      </c>
      <c r="BQ71" s="1">
        <v>1215644.43</v>
      </c>
      <c r="BR71" s="1"/>
      <c r="BS71" s="1"/>
      <c r="BT71" s="1"/>
      <c r="BU71" s="1"/>
      <c r="BV71" s="1">
        <v>812767.15</v>
      </c>
      <c r="BW71" s="1">
        <v>1033900.69</v>
      </c>
      <c r="BX71" s="1">
        <v>3052273.77</v>
      </c>
      <c r="BY71" s="1">
        <v>9436526.3300000001</v>
      </c>
      <c r="BZ71" s="1">
        <v>1690956.4</v>
      </c>
      <c r="CA71" s="1">
        <v>1014761.77</v>
      </c>
      <c r="CB71" s="1">
        <v>277.97000000000003</v>
      </c>
      <c r="CC71" s="1">
        <v>278.52</v>
      </c>
      <c r="CD71" s="1"/>
      <c r="CE71" s="1"/>
      <c r="CF71" s="1"/>
      <c r="CG71" s="1"/>
      <c r="CH71" s="1">
        <v>14494.14</v>
      </c>
      <c r="CI71" s="1">
        <v>843021.33</v>
      </c>
      <c r="CJ71" s="1">
        <v>53741.73</v>
      </c>
      <c r="CK71" s="1">
        <v>30615.61</v>
      </c>
      <c r="CL71" s="1"/>
      <c r="CM71" s="1"/>
      <c r="CN71" s="1">
        <v>48912.13</v>
      </c>
      <c r="CO71" s="1">
        <v>12077.46</v>
      </c>
      <c r="CP71" s="1">
        <v>2319.37</v>
      </c>
      <c r="CQ71" s="1">
        <v>25.67</v>
      </c>
      <c r="CR71" s="1">
        <v>2510.23</v>
      </c>
      <c r="CS71" s="1">
        <v>18512.48</v>
      </c>
      <c r="CT71" s="1">
        <v>66003.38</v>
      </c>
      <c r="CU71" s="1">
        <v>126419.21</v>
      </c>
      <c r="CV71" s="1"/>
      <c r="CW71" s="1"/>
      <c r="CX71" s="2">
        <v>54732386.939999998</v>
      </c>
      <c r="CY71" s="1">
        <v>54821586.780000001</v>
      </c>
      <c r="CZ71" s="1">
        <v>77807111.299999997</v>
      </c>
      <c r="DA71" s="1">
        <v>78106746.540000007</v>
      </c>
      <c r="DB71" s="1">
        <v>9899234.4000000004</v>
      </c>
      <c r="DC71" s="1">
        <v>9899234.4000000004</v>
      </c>
      <c r="DD71" s="1"/>
      <c r="DE71" s="1"/>
      <c r="DF71" s="1">
        <v>8039897.0199999996</v>
      </c>
      <c r="DG71" s="1">
        <v>9504260.6899999995</v>
      </c>
      <c r="DH71" s="1"/>
      <c r="DI71" s="1"/>
      <c r="DJ71" s="1">
        <v>10922363.789999999</v>
      </c>
      <c r="DK71" s="1">
        <v>577269.16</v>
      </c>
      <c r="DL71" s="24"/>
      <c r="DM71" s="24"/>
      <c r="DN71" s="1"/>
      <c r="DO71" s="1"/>
      <c r="DP71" s="2">
        <v>28861495.210000001</v>
      </c>
      <c r="DQ71" s="1">
        <v>19980764.25</v>
      </c>
      <c r="DR71" s="2">
        <v>34000000</v>
      </c>
      <c r="DS71" s="1">
        <v>40902479.009999998</v>
      </c>
      <c r="DT71" s="1">
        <v>0</v>
      </c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>
        <v>34000000</v>
      </c>
      <c r="EK71" s="1">
        <v>40902479.009999998</v>
      </c>
      <c r="EL71" s="1"/>
      <c r="EM71" s="1"/>
      <c r="EN71" s="1"/>
      <c r="EO71" s="1"/>
      <c r="EP71" s="2">
        <v>14945616.09</v>
      </c>
      <c r="EQ71" s="1">
        <v>17223503.280000001</v>
      </c>
      <c r="ER71" s="1">
        <v>14945616.09</v>
      </c>
      <c r="ES71" s="1">
        <v>17017263.280000001</v>
      </c>
      <c r="ET71" s="1">
        <v>952828.3</v>
      </c>
      <c r="EU71" s="1">
        <v>352828.3</v>
      </c>
      <c r="EV71" s="1">
        <v>9415121.2400000002</v>
      </c>
      <c r="EW71" s="1">
        <v>12842504.890000001</v>
      </c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>
        <v>207333.95</v>
      </c>
      <c r="FI71" s="1">
        <v>2439148.38</v>
      </c>
      <c r="FJ71" s="1">
        <v>545995.59</v>
      </c>
      <c r="FK71" s="1">
        <v>636518.16</v>
      </c>
      <c r="FL71" s="1"/>
      <c r="FM71" s="1"/>
      <c r="FN71" s="1">
        <v>427030.97</v>
      </c>
      <c r="FO71" s="1">
        <v>208482.11</v>
      </c>
      <c r="FP71" s="1">
        <v>3782474.06</v>
      </c>
      <c r="FQ71" s="1">
        <v>360639.76</v>
      </c>
      <c r="FR71" s="1">
        <v>523643.43</v>
      </c>
      <c r="FS71" s="1">
        <v>519590.22</v>
      </c>
      <c r="FT71" s="1"/>
      <c r="FU71" s="1"/>
      <c r="FV71" s="1"/>
      <c r="FW71" s="1">
        <v>206240</v>
      </c>
      <c r="FX71" s="1"/>
      <c r="FY71" s="1"/>
      <c r="FZ71" s="1">
        <v>44016.85</v>
      </c>
      <c r="GA71" s="1">
        <v>10379.76</v>
      </c>
      <c r="GB71" s="1">
        <v>48945616.090000004</v>
      </c>
      <c r="GC71" s="1">
        <v>58125982.289999999</v>
      </c>
      <c r="GD71" s="1">
        <v>77807111.299999997</v>
      </c>
      <c r="GE71" s="1">
        <v>78106746.540000007</v>
      </c>
    </row>
    <row r="72" spans="1:187" s="3" customFormat="1" ht="12" x14ac:dyDescent="0.2">
      <c r="A72" s="1">
        <v>20006</v>
      </c>
      <c r="B72" s="1">
        <v>0</v>
      </c>
      <c r="C72" s="1">
        <v>200479996</v>
      </c>
      <c r="D72" s="1" t="s">
        <v>134</v>
      </c>
      <c r="E72" s="1">
        <v>22</v>
      </c>
      <c r="F72" s="1">
        <v>7</v>
      </c>
      <c r="G72" s="1">
        <v>0</v>
      </c>
      <c r="H72" s="1">
        <v>1</v>
      </c>
      <c r="I72" s="1">
        <v>2019</v>
      </c>
      <c r="J72" s="1">
        <v>4</v>
      </c>
      <c r="K72" s="1" t="s">
        <v>0</v>
      </c>
      <c r="L72" s="1">
        <v>1</v>
      </c>
      <c r="M72" s="1">
        <v>30</v>
      </c>
      <c r="N72" s="1">
        <v>0</v>
      </c>
      <c r="O72" s="1">
        <v>44121.697685185187</v>
      </c>
      <c r="P72" s="1">
        <v>37130555</v>
      </c>
      <c r="Q72" s="1">
        <v>39061621</v>
      </c>
      <c r="R72" s="1">
        <v>17842659</v>
      </c>
      <c r="S72" s="1">
        <v>20188975</v>
      </c>
      <c r="T72" s="1">
        <v>19287896</v>
      </c>
      <c r="U72" s="1">
        <v>18872646</v>
      </c>
      <c r="V72" s="1"/>
      <c r="W72" s="1"/>
      <c r="X72" s="1"/>
      <c r="Y72" s="1"/>
      <c r="Z72" s="1"/>
      <c r="AA72" s="1"/>
      <c r="AB72" s="1">
        <v>540878</v>
      </c>
      <c r="AC72" s="1">
        <v>2998096</v>
      </c>
      <c r="AD72" s="1">
        <v>3838</v>
      </c>
      <c r="AE72" s="1">
        <v>3838</v>
      </c>
      <c r="AF72" s="1">
        <v>522040</v>
      </c>
      <c r="AG72" s="1">
        <v>214000</v>
      </c>
      <c r="AH72" s="1"/>
      <c r="AI72" s="1"/>
      <c r="AJ72" s="1"/>
      <c r="AK72" s="1">
        <v>2765258</v>
      </c>
      <c r="AL72" s="1">
        <v>15000</v>
      </c>
      <c r="AM72" s="1">
        <v>15000</v>
      </c>
      <c r="AN72" s="1"/>
      <c r="AO72" s="1"/>
      <c r="AP72" s="1">
        <v>314350</v>
      </c>
      <c r="AQ72" s="1"/>
      <c r="AR72" s="1">
        <v>1364486</v>
      </c>
      <c r="AS72" s="1">
        <v>1203982</v>
      </c>
      <c r="AT72" s="1"/>
      <c r="AU72" s="1"/>
      <c r="AV72" s="2">
        <v>21507610</v>
      </c>
      <c r="AW72" s="1">
        <v>23074724</v>
      </c>
      <c r="AX72" s="1">
        <v>28454223</v>
      </c>
      <c r="AY72" s="1">
        <v>46501596</v>
      </c>
      <c r="AZ72" s="1">
        <v>23309040</v>
      </c>
      <c r="BA72" s="1">
        <v>11953246</v>
      </c>
      <c r="BB72" s="1"/>
      <c r="BC72" s="1"/>
      <c r="BD72" s="1">
        <v>5099780</v>
      </c>
      <c r="BE72" s="1">
        <v>34502947</v>
      </c>
      <c r="BF72" s="1">
        <v>45403</v>
      </c>
      <c r="BG72" s="1">
        <v>45403</v>
      </c>
      <c r="BH72" s="1"/>
      <c r="BI72" s="1">
        <v>19288</v>
      </c>
      <c r="BJ72" s="1"/>
      <c r="BK72" s="1"/>
      <c r="BL72" s="1">
        <v>12897358</v>
      </c>
      <c r="BM72" s="1">
        <v>8091757</v>
      </c>
      <c r="BN72" s="1"/>
      <c r="BO72" s="1">
        <v>203224.2</v>
      </c>
      <c r="BP72" s="1">
        <v>365465</v>
      </c>
      <c r="BQ72" s="1">
        <v>2520988</v>
      </c>
      <c r="BR72" s="1"/>
      <c r="BS72" s="1"/>
      <c r="BT72" s="1"/>
      <c r="BU72" s="1"/>
      <c r="BV72" s="1">
        <v>664766</v>
      </c>
      <c r="BW72" s="1">
        <v>812767</v>
      </c>
      <c r="BX72" s="1">
        <v>4085228</v>
      </c>
      <c r="BY72" s="1">
        <v>3052274</v>
      </c>
      <c r="BZ72" s="1">
        <v>1990148</v>
      </c>
      <c r="CA72" s="1">
        <v>1690956</v>
      </c>
      <c r="CB72" s="1">
        <v>14000</v>
      </c>
      <c r="CC72" s="1">
        <v>278</v>
      </c>
      <c r="CD72" s="1"/>
      <c r="CE72" s="1"/>
      <c r="CF72" s="1"/>
      <c r="CG72" s="1"/>
      <c r="CH72" s="1">
        <v>5777751</v>
      </c>
      <c r="CI72" s="1">
        <v>14494</v>
      </c>
      <c r="CJ72" s="1">
        <v>362015</v>
      </c>
      <c r="CK72" s="1">
        <v>53742</v>
      </c>
      <c r="CL72" s="1"/>
      <c r="CM72" s="1"/>
      <c r="CN72" s="1">
        <v>7352</v>
      </c>
      <c r="CO72" s="1">
        <v>48912</v>
      </c>
      <c r="CP72" s="1">
        <v>313578</v>
      </c>
      <c r="CQ72" s="1">
        <v>2319</v>
      </c>
      <c r="CR72" s="1">
        <v>41085</v>
      </c>
      <c r="CS72" s="1">
        <v>2511</v>
      </c>
      <c r="CT72" s="1">
        <v>75247</v>
      </c>
      <c r="CU72" s="1">
        <v>66004</v>
      </c>
      <c r="CV72" s="1"/>
      <c r="CW72" s="1"/>
      <c r="CX72" s="2">
        <v>41788843</v>
      </c>
      <c r="CY72" s="1">
        <v>54732387</v>
      </c>
      <c r="CZ72" s="1">
        <v>63296453</v>
      </c>
      <c r="DA72" s="1">
        <v>77807111</v>
      </c>
      <c r="DB72" s="1">
        <v>9899234</v>
      </c>
      <c r="DC72" s="1">
        <v>9899234</v>
      </c>
      <c r="DD72" s="1"/>
      <c r="DE72" s="1"/>
      <c r="DF72" s="1">
        <v>7064585</v>
      </c>
      <c r="DG72" s="1">
        <v>8039897</v>
      </c>
      <c r="DH72" s="1"/>
      <c r="DI72" s="1"/>
      <c r="DJ72" s="1">
        <v>16547725</v>
      </c>
      <c r="DK72" s="1">
        <v>10922364</v>
      </c>
      <c r="DL72" s="24"/>
      <c r="DM72" s="24"/>
      <c r="DN72" s="1"/>
      <c r="DO72" s="1"/>
      <c r="DP72" s="2">
        <v>33511544</v>
      </c>
      <c r="DQ72" s="1">
        <v>28861495</v>
      </c>
      <c r="DR72" s="2">
        <v>20553847</v>
      </c>
      <c r="DS72" s="1">
        <v>34000000</v>
      </c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>
        <v>20553847</v>
      </c>
      <c r="EK72" s="1">
        <v>34000000</v>
      </c>
      <c r="EL72" s="1"/>
      <c r="EM72" s="1"/>
      <c r="EN72" s="1"/>
      <c r="EO72" s="1"/>
      <c r="EP72" s="2">
        <v>9231062</v>
      </c>
      <c r="EQ72" s="1">
        <v>14945616</v>
      </c>
      <c r="ER72" s="1">
        <v>9231062</v>
      </c>
      <c r="ES72" s="1">
        <v>14945616</v>
      </c>
      <c r="ET72" s="1"/>
      <c r="EU72" s="1">
        <v>952828.3</v>
      </c>
      <c r="EV72" s="1">
        <v>5724617</v>
      </c>
      <c r="EW72" s="1">
        <v>9415121</v>
      </c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>
        <v>11876</v>
      </c>
      <c r="FI72" s="1">
        <v>207334</v>
      </c>
      <c r="FJ72" s="1">
        <v>777466</v>
      </c>
      <c r="FK72" s="1">
        <v>545996</v>
      </c>
      <c r="FL72" s="1"/>
      <c r="FM72" s="1"/>
      <c r="FN72" s="1">
        <v>1346408</v>
      </c>
      <c r="FO72" s="1">
        <v>427031</v>
      </c>
      <c r="FP72" s="1">
        <v>321713</v>
      </c>
      <c r="FQ72" s="1">
        <v>3782474</v>
      </c>
      <c r="FR72" s="1">
        <v>1017398</v>
      </c>
      <c r="FS72" s="1">
        <v>523643</v>
      </c>
      <c r="FT72" s="1"/>
      <c r="FU72" s="1"/>
      <c r="FV72" s="1"/>
      <c r="FW72" s="1"/>
      <c r="FX72" s="1"/>
      <c r="FY72" s="1"/>
      <c r="FZ72" s="1">
        <v>31584</v>
      </c>
      <c r="GA72" s="1">
        <v>44017</v>
      </c>
      <c r="GB72" s="1">
        <v>29784909</v>
      </c>
      <c r="GC72" s="1">
        <v>48945616</v>
      </c>
      <c r="GD72" s="1">
        <v>63296453</v>
      </c>
      <c r="GE72" s="1">
        <v>77807111</v>
      </c>
    </row>
    <row r="73" spans="1:187" s="3" customFormat="1" x14ac:dyDescent="0.25">
      <c r="A73" s="1">
        <v>20006</v>
      </c>
      <c r="B73" s="1">
        <v>0</v>
      </c>
      <c r="C73" s="3">
        <v>200479996</v>
      </c>
      <c r="D73" s="3" t="s">
        <v>134</v>
      </c>
      <c r="E73" s="4">
        <v>22</v>
      </c>
      <c r="F73" s="4">
        <v>7</v>
      </c>
      <c r="G73" s="4">
        <v>0</v>
      </c>
      <c r="H73" s="4">
        <v>1</v>
      </c>
      <c r="I73" s="1">
        <v>2018</v>
      </c>
      <c r="J73" s="1">
        <v>4</v>
      </c>
      <c r="K73" s="3" t="s">
        <v>0</v>
      </c>
      <c r="L73" s="1">
        <v>3</v>
      </c>
      <c r="M73" s="1">
        <v>30</v>
      </c>
      <c r="N73" s="5">
        <v>0</v>
      </c>
      <c r="O73" s="6">
        <v>43580.427685185183</v>
      </c>
      <c r="P73" s="1">
        <v>20294851</v>
      </c>
      <c r="Q73" s="1">
        <v>37130555</v>
      </c>
      <c r="R73" s="1">
        <v>12990910</v>
      </c>
      <c r="S73" s="1">
        <v>17842659</v>
      </c>
      <c r="T73" s="1">
        <v>7303941</v>
      </c>
      <c r="U73" s="1">
        <v>19287896</v>
      </c>
      <c r="V73" s="1"/>
      <c r="W73" s="1"/>
      <c r="X73" s="1"/>
      <c r="Y73" s="1"/>
      <c r="Z73" s="1"/>
      <c r="AA73" s="1"/>
      <c r="AB73" s="1">
        <v>584978</v>
      </c>
      <c r="AC73" s="1">
        <v>540878</v>
      </c>
      <c r="AD73" s="1">
        <v>3838</v>
      </c>
      <c r="AE73" s="1">
        <v>3838</v>
      </c>
      <c r="AF73" s="1">
        <v>566140</v>
      </c>
      <c r="AG73" s="1">
        <v>522040</v>
      </c>
      <c r="AH73" s="1"/>
      <c r="AI73" s="1"/>
      <c r="AJ73" s="1"/>
      <c r="AK73" s="1"/>
      <c r="AL73" s="1">
        <v>15000</v>
      </c>
      <c r="AM73" s="1">
        <v>15000</v>
      </c>
      <c r="AN73" s="1"/>
      <c r="AO73" s="1"/>
      <c r="AP73" s="1">
        <v>869843</v>
      </c>
      <c r="AQ73" s="1">
        <v>314350</v>
      </c>
      <c r="AR73" s="1">
        <v>1418036</v>
      </c>
      <c r="AS73" s="1">
        <v>1364486</v>
      </c>
      <c r="AT73" s="1"/>
      <c r="AU73" s="1"/>
      <c r="AV73" s="2">
        <v>10176798</v>
      </c>
      <c r="AW73" s="1">
        <v>21507610</v>
      </c>
      <c r="AX73" s="1">
        <v>18556785</v>
      </c>
      <c r="AY73" s="1">
        <v>28454223</v>
      </c>
      <c r="AZ73" s="1">
        <v>12321617</v>
      </c>
      <c r="BA73" s="1">
        <v>23309040</v>
      </c>
      <c r="BB73" s="1"/>
      <c r="BC73" s="1"/>
      <c r="BD73" s="1">
        <v>5796967</v>
      </c>
      <c r="BE73" s="1">
        <v>5099780</v>
      </c>
      <c r="BF73" s="1">
        <v>438201</v>
      </c>
      <c r="BG73" s="1">
        <v>45403</v>
      </c>
      <c r="BH73" s="1">
        <v>164068</v>
      </c>
      <c r="BI73" s="1"/>
      <c r="BJ73" s="1"/>
      <c r="BK73" s="1"/>
      <c r="BL73" s="1">
        <v>18794827</v>
      </c>
      <c r="BM73" s="1">
        <v>12897358</v>
      </c>
      <c r="BN73" s="1"/>
      <c r="BO73" s="1"/>
      <c r="BP73" s="1"/>
      <c r="BQ73" s="1">
        <v>365465</v>
      </c>
      <c r="BR73" s="1"/>
      <c r="BS73" s="1"/>
      <c r="BT73" s="1"/>
      <c r="BU73" s="1"/>
      <c r="BV73" s="1">
        <v>1284</v>
      </c>
      <c r="BW73" s="1">
        <v>664766</v>
      </c>
      <c r="BX73" s="1">
        <v>1314383</v>
      </c>
      <c r="BY73" s="1">
        <v>4085228</v>
      </c>
      <c r="BZ73" s="1">
        <v>143318</v>
      </c>
      <c r="CA73" s="1">
        <v>1990148</v>
      </c>
      <c r="CB73" s="1"/>
      <c r="CC73" s="1">
        <v>14000</v>
      </c>
      <c r="CD73" s="1"/>
      <c r="CE73" s="1"/>
      <c r="CF73" s="1">
        <v>944226</v>
      </c>
      <c r="CG73" s="1"/>
      <c r="CH73" s="1">
        <v>16391616</v>
      </c>
      <c r="CI73" s="1">
        <v>5777751</v>
      </c>
      <c r="CJ73" s="1">
        <v>101126</v>
      </c>
      <c r="CK73" s="1">
        <v>362015</v>
      </c>
      <c r="CL73" s="1"/>
      <c r="CM73" s="1"/>
      <c r="CN73" s="1">
        <v>13281</v>
      </c>
      <c r="CO73" s="1">
        <v>7352</v>
      </c>
      <c r="CP73" s="1">
        <v>83899</v>
      </c>
      <c r="CQ73" s="1">
        <v>313578</v>
      </c>
      <c r="CR73" s="1">
        <v>3946</v>
      </c>
      <c r="CS73" s="1">
        <v>41085</v>
      </c>
      <c r="CT73" s="1">
        <v>75247</v>
      </c>
      <c r="CU73" s="1">
        <v>75247</v>
      </c>
      <c r="CV73" s="1"/>
      <c r="CW73" s="1"/>
      <c r="CX73" s="2">
        <v>37692053</v>
      </c>
      <c r="CY73" s="1">
        <v>41788843</v>
      </c>
      <c r="CZ73" s="1">
        <v>47868851</v>
      </c>
      <c r="DA73" s="1">
        <v>63296453</v>
      </c>
      <c r="DB73" s="1">
        <v>9899234</v>
      </c>
      <c r="DC73" s="1">
        <v>9899234</v>
      </c>
      <c r="DD73" s="1"/>
      <c r="DE73" s="1"/>
      <c r="DF73" s="1">
        <v>4578690</v>
      </c>
      <c r="DG73" s="1">
        <v>7064585</v>
      </c>
      <c r="DH73" s="1"/>
      <c r="DI73" s="1"/>
      <c r="DJ73" s="1">
        <v>7050215</v>
      </c>
      <c r="DK73" s="1">
        <v>16547725</v>
      </c>
      <c r="DL73" s="24"/>
      <c r="DM73" s="24"/>
      <c r="DN73" s="1"/>
      <c r="DO73" s="1"/>
      <c r="DP73" s="2">
        <v>21528139</v>
      </c>
      <c r="DQ73" s="1">
        <v>33511544</v>
      </c>
      <c r="DR73" s="2">
        <v>10770000</v>
      </c>
      <c r="DS73" s="1">
        <v>20553847</v>
      </c>
      <c r="DT73" s="1">
        <v>0</v>
      </c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>
        <v>10770000</v>
      </c>
      <c r="EK73" s="1">
        <v>20553847</v>
      </c>
      <c r="EL73" s="1"/>
      <c r="EM73" s="1"/>
      <c r="EN73" s="1"/>
      <c r="EO73" s="1"/>
      <c r="EP73" s="2">
        <v>15570712</v>
      </c>
      <c r="EQ73" s="1">
        <v>9231062</v>
      </c>
      <c r="ER73" s="1">
        <v>14601357</v>
      </c>
      <c r="ES73" s="1">
        <v>9231062</v>
      </c>
      <c r="ET73" s="1"/>
      <c r="EU73" s="1"/>
      <c r="EV73" s="1">
        <v>11479200</v>
      </c>
      <c r="EW73" s="1">
        <v>5724617</v>
      </c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>
        <v>173899</v>
      </c>
      <c r="FI73" s="1">
        <v>11876</v>
      </c>
      <c r="FJ73" s="1">
        <v>923743</v>
      </c>
      <c r="FK73" s="1">
        <v>777466</v>
      </c>
      <c r="FL73" s="1"/>
      <c r="FM73" s="1"/>
      <c r="FN73" s="1">
        <v>808948</v>
      </c>
      <c r="FO73" s="1">
        <v>1346408</v>
      </c>
      <c r="FP73" s="1">
        <v>688200</v>
      </c>
      <c r="FQ73" s="1">
        <v>321713</v>
      </c>
      <c r="FR73" s="1">
        <v>494748</v>
      </c>
      <c r="FS73" s="1">
        <v>1017398</v>
      </c>
      <c r="FT73" s="1">
        <v>936000</v>
      </c>
      <c r="FU73" s="1"/>
      <c r="FV73" s="1">
        <v>33355</v>
      </c>
      <c r="FW73" s="1"/>
      <c r="FX73" s="1"/>
      <c r="FY73" s="1"/>
      <c r="FZ73" s="1">
        <v>32619</v>
      </c>
      <c r="GA73" s="1">
        <v>31584</v>
      </c>
      <c r="GB73" s="1">
        <v>26340712</v>
      </c>
      <c r="GC73" s="1">
        <v>29784909</v>
      </c>
      <c r="GD73" s="1">
        <v>47868851</v>
      </c>
      <c r="GE73" s="1">
        <v>63296453</v>
      </c>
    </row>
    <row r="74" spans="1:187" s="3" customFormat="1" ht="12" x14ac:dyDescent="0.2">
      <c r="A74" s="1">
        <v>20006</v>
      </c>
      <c r="B74" s="1">
        <v>0</v>
      </c>
      <c r="C74" s="1">
        <v>200523324</v>
      </c>
      <c r="D74" s="1" t="s">
        <v>135</v>
      </c>
      <c r="E74" s="1">
        <v>26</v>
      </c>
      <c r="F74" s="1">
        <v>2</v>
      </c>
      <c r="G74" s="1">
        <v>0</v>
      </c>
      <c r="H74" s="1">
        <v>1</v>
      </c>
      <c r="I74" s="1">
        <v>2021</v>
      </c>
      <c r="J74" s="1">
        <v>4</v>
      </c>
      <c r="K74" s="1" t="s">
        <v>0</v>
      </c>
      <c r="L74" s="1">
        <v>2</v>
      </c>
      <c r="M74" s="1">
        <v>30</v>
      </c>
      <c r="N74" s="1">
        <v>0</v>
      </c>
      <c r="O74" s="1">
        <v>44739.705810185187</v>
      </c>
      <c r="P74" s="1">
        <v>3120776</v>
      </c>
      <c r="Q74" s="1"/>
      <c r="R74" s="1">
        <v>2107316</v>
      </c>
      <c r="S74" s="1"/>
      <c r="T74" s="1">
        <v>1013460</v>
      </c>
      <c r="U74" s="1">
        <v>0</v>
      </c>
      <c r="V74" s="1">
        <v>39050</v>
      </c>
      <c r="W74" s="1"/>
      <c r="X74" s="1">
        <v>39050</v>
      </c>
      <c r="Y74" s="1"/>
      <c r="Z74" s="1">
        <v>0</v>
      </c>
      <c r="AA74" s="1"/>
      <c r="AB74" s="1">
        <v>48187813</v>
      </c>
      <c r="AC74" s="1">
        <v>48187813</v>
      </c>
      <c r="AD74" s="1">
        <v>22962676</v>
      </c>
      <c r="AE74" s="1">
        <v>22962676</v>
      </c>
      <c r="AF74" s="1">
        <v>5297503</v>
      </c>
      <c r="AG74" s="1">
        <v>5297503</v>
      </c>
      <c r="AH74" s="1">
        <v>1221321</v>
      </c>
      <c r="AI74" s="1">
        <v>1221321</v>
      </c>
      <c r="AJ74" s="1">
        <v>915700</v>
      </c>
      <c r="AK74" s="1">
        <v>915700</v>
      </c>
      <c r="AL74" s="1">
        <v>17790613</v>
      </c>
      <c r="AM74" s="1">
        <v>17790613</v>
      </c>
      <c r="AN74" s="1"/>
      <c r="AO74" s="1"/>
      <c r="AP74" s="1"/>
      <c r="AQ74" s="1"/>
      <c r="AR74" s="1">
        <v>5749837</v>
      </c>
      <c r="AS74" s="1">
        <v>5749837</v>
      </c>
      <c r="AT74" s="1"/>
      <c r="AU74" s="1"/>
      <c r="AV74" s="2">
        <v>54951110</v>
      </c>
      <c r="AW74" s="1">
        <v>53937650</v>
      </c>
      <c r="AX74" s="1">
        <v>998239</v>
      </c>
      <c r="AY74" s="1"/>
      <c r="AZ74" s="1">
        <v>68213</v>
      </c>
      <c r="BA74" s="1"/>
      <c r="BB74" s="1"/>
      <c r="BC74" s="1"/>
      <c r="BD74" s="1"/>
      <c r="BE74" s="1"/>
      <c r="BF74" s="1">
        <v>930026</v>
      </c>
      <c r="BG74" s="1"/>
      <c r="BH74" s="1"/>
      <c r="BI74" s="1"/>
      <c r="BJ74" s="1"/>
      <c r="BK74" s="1"/>
      <c r="BL74" s="1">
        <v>16386095</v>
      </c>
      <c r="BM74" s="1">
        <v>14275365.83</v>
      </c>
      <c r="BN74" s="1"/>
      <c r="BO74" s="1"/>
      <c r="BP74" s="1"/>
      <c r="BQ74" s="1"/>
      <c r="BR74" s="1"/>
      <c r="BS74" s="1"/>
      <c r="BT74" s="1"/>
      <c r="BU74" s="1"/>
      <c r="BV74" s="1"/>
      <c r="BW74" s="1">
        <v>1200</v>
      </c>
      <c r="BX74" s="1"/>
      <c r="BY74" s="1">
        <v>44816.74</v>
      </c>
      <c r="BZ74" s="1">
        <v>197923</v>
      </c>
      <c r="CA74" s="1">
        <v>1385.49</v>
      </c>
      <c r="CB74" s="1">
        <v>23413</v>
      </c>
      <c r="CC74" s="1">
        <v>15858.6</v>
      </c>
      <c r="CD74" s="1"/>
      <c r="CE74" s="1"/>
      <c r="CF74" s="1"/>
      <c r="CG74" s="1"/>
      <c r="CH74" s="1">
        <v>16164759</v>
      </c>
      <c r="CI74" s="1">
        <v>14212105</v>
      </c>
      <c r="CJ74" s="1">
        <v>2225166</v>
      </c>
      <c r="CK74" s="1">
        <v>1363559.33</v>
      </c>
      <c r="CL74" s="1"/>
      <c r="CM74" s="1"/>
      <c r="CN74" s="1">
        <v>2196798</v>
      </c>
      <c r="CO74" s="1">
        <v>1348692.94</v>
      </c>
      <c r="CP74" s="1">
        <v>9849</v>
      </c>
      <c r="CQ74" s="1">
        <v>9849</v>
      </c>
      <c r="CR74" s="1">
        <v>18519</v>
      </c>
      <c r="CS74" s="1">
        <v>5017.3900000000003</v>
      </c>
      <c r="CT74" s="1">
        <v>5079679</v>
      </c>
      <c r="CU74" s="1">
        <v>5109679</v>
      </c>
      <c r="CV74" s="1"/>
      <c r="CW74" s="1"/>
      <c r="CX74" s="2">
        <v>24689179</v>
      </c>
      <c r="CY74" s="1">
        <v>20748604.16</v>
      </c>
      <c r="CZ74" s="1">
        <v>79640289</v>
      </c>
      <c r="DA74" s="1">
        <v>74686254.159999996</v>
      </c>
      <c r="DB74" s="1">
        <v>12904341</v>
      </c>
      <c r="DC74" s="1">
        <v>12904341</v>
      </c>
      <c r="DD74" s="1"/>
      <c r="DE74" s="1"/>
      <c r="DF74" s="1">
        <v>2422411</v>
      </c>
      <c r="DG74" s="1">
        <v>2422411</v>
      </c>
      <c r="DH74" s="1"/>
      <c r="DI74" s="1"/>
      <c r="DJ74" s="1">
        <v>9884968</v>
      </c>
      <c r="DK74" s="1">
        <v>9625402</v>
      </c>
      <c r="DL74" s="24">
        <v>621630</v>
      </c>
      <c r="DM74" s="24">
        <v>621630</v>
      </c>
      <c r="DN74" s="1">
        <v>2119355</v>
      </c>
      <c r="DO74" s="1">
        <v>2119355</v>
      </c>
      <c r="DP74" s="2">
        <v>27952705</v>
      </c>
      <c r="DQ74" s="1">
        <v>27693139</v>
      </c>
      <c r="DR74" s="2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2">
        <v>51687584</v>
      </c>
      <c r="EQ74" s="1">
        <v>46993115.159999996</v>
      </c>
      <c r="ER74" s="1">
        <v>7083714</v>
      </c>
      <c r="ES74" s="1">
        <v>5798479.6299999999</v>
      </c>
      <c r="ET74" s="1"/>
      <c r="EU74" s="1"/>
      <c r="EV74" s="1">
        <v>1406630</v>
      </c>
      <c r="EW74" s="1">
        <v>76289.63</v>
      </c>
      <c r="EX74" s="1"/>
      <c r="EY74" s="1"/>
      <c r="EZ74" s="1"/>
      <c r="FA74" s="1"/>
      <c r="FB74" s="1">
        <v>44603870</v>
      </c>
      <c r="FC74" s="1">
        <v>41194635.530000001</v>
      </c>
      <c r="FD74" s="1"/>
      <c r="FE74" s="1"/>
      <c r="FF74" s="1"/>
      <c r="FG74" s="1"/>
      <c r="FH74" s="1">
        <v>5704790</v>
      </c>
      <c r="FI74" s="1">
        <v>5704790</v>
      </c>
      <c r="FJ74" s="1">
        <v>-1078870</v>
      </c>
      <c r="FK74" s="1"/>
      <c r="FL74" s="1"/>
      <c r="FM74" s="1"/>
      <c r="FN74" s="1">
        <v>17400</v>
      </c>
      <c r="FO74" s="1">
        <v>17400</v>
      </c>
      <c r="FP74" s="1">
        <v>367080</v>
      </c>
      <c r="FQ74" s="1"/>
      <c r="FR74" s="1">
        <v>29660</v>
      </c>
      <c r="FS74" s="1"/>
      <c r="FT74" s="1"/>
      <c r="FU74" s="1"/>
      <c r="FV74" s="1"/>
      <c r="FW74" s="1"/>
      <c r="FX74" s="1"/>
      <c r="FY74" s="1"/>
      <c r="FZ74" s="1">
        <v>637024</v>
      </c>
      <c r="GA74" s="1"/>
      <c r="GB74" s="1">
        <v>51687584</v>
      </c>
      <c r="GC74" s="1">
        <v>46993115.159999996</v>
      </c>
      <c r="GD74" s="1">
        <v>79640289</v>
      </c>
      <c r="GE74" s="1">
        <v>74686254.159999996</v>
      </c>
    </row>
    <row r="75" spans="1:187" s="3" customFormat="1" ht="12" x14ac:dyDescent="0.2">
      <c r="A75" s="1">
        <v>20006</v>
      </c>
      <c r="B75" s="1">
        <v>0</v>
      </c>
      <c r="C75" s="1">
        <v>200523324</v>
      </c>
      <c r="D75" s="1" t="s">
        <v>135</v>
      </c>
      <c r="E75" s="1">
        <v>26</v>
      </c>
      <c r="F75" s="1">
        <v>2</v>
      </c>
      <c r="G75" s="1">
        <v>0</v>
      </c>
      <c r="H75" s="1">
        <v>1</v>
      </c>
      <c r="I75" s="1">
        <v>2020</v>
      </c>
      <c r="J75" s="1">
        <v>4</v>
      </c>
      <c r="K75" s="1" t="s">
        <v>0</v>
      </c>
      <c r="L75" s="1">
        <v>2</v>
      </c>
      <c r="M75" s="1">
        <v>30</v>
      </c>
      <c r="N75" s="1">
        <v>0</v>
      </c>
      <c r="O75" s="1">
        <v>44672.567511574074</v>
      </c>
      <c r="P75" s="1">
        <v>3120776</v>
      </c>
      <c r="Q75" s="1">
        <v>3120776</v>
      </c>
      <c r="R75" s="1">
        <v>2078429</v>
      </c>
      <c r="S75" s="1">
        <v>2107316</v>
      </c>
      <c r="T75" s="1">
        <v>1042347</v>
      </c>
      <c r="U75" s="1">
        <v>1013460</v>
      </c>
      <c r="V75" s="1">
        <v>39050</v>
      </c>
      <c r="W75" s="1">
        <v>39050</v>
      </c>
      <c r="X75" s="1">
        <v>39050</v>
      </c>
      <c r="Y75" s="1">
        <v>39050</v>
      </c>
      <c r="Z75" s="1">
        <v>0</v>
      </c>
      <c r="AA75" s="1">
        <v>0</v>
      </c>
      <c r="AB75" s="1">
        <v>48255015</v>
      </c>
      <c r="AC75" s="1">
        <v>48187813</v>
      </c>
      <c r="AD75" s="1">
        <v>22962676</v>
      </c>
      <c r="AE75" s="1">
        <v>22962676</v>
      </c>
      <c r="AF75" s="1">
        <v>5297503</v>
      </c>
      <c r="AG75" s="1">
        <v>5297503</v>
      </c>
      <c r="AH75" s="1">
        <v>1221321</v>
      </c>
      <c r="AI75" s="1">
        <v>1221321</v>
      </c>
      <c r="AJ75" s="1">
        <v>982902</v>
      </c>
      <c r="AK75" s="1">
        <v>915700</v>
      </c>
      <c r="AL75" s="1">
        <v>17790613</v>
      </c>
      <c r="AM75" s="1">
        <v>17790613</v>
      </c>
      <c r="AN75" s="1"/>
      <c r="AO75" s="1"/>
      <c r="AP75" s="1"/>
      <c r="AQ75" s="1"/>
      <c r="AR75" s="1">
        <v>5749836</v>
      </c>
      <c r="AS75" s="1">
        <v>5749837</v>
      </c>
      <c r="AT75" s="1"/>
      <c r="AU75" s="1"/>
      <c r="AV75" s="2">
        <v>55047198</v>
      </c>
      <c r="AW75" s="1">
        <v>54951110</v>
      </c>
      <c r="AX75" s="1">
        <v>998238</v>
      </c>
      <c r="AY75" s="1">
        <v>998239</v>
      </c>
      <c r="AZ75" s="1">
        <v>68213</v>
      </c>
      <c r="BA75" s="1">
        <v>68213</v>
      </c>
      <c r="BB75" s="1"/>
      <c r="BC75" s="1"/>
      <c r="BD75" s="1"/>
      <c r="BE75" s="1"/>
      <c r="BF75" s="1">
        <v>930025</v>
      </c>
      <c r="BG75" s="1">
        <v>930026</v>
      </c>
      <c r="BH75" s="1"/>
      <c r="BI75" s="1"/>
      <c r="BJ75" s="1"/>
      <c r="BK75" s="1"/>
      <c r="BL75" s="1">
        <v>16513483</v>
      </c>
      <c r="BM75" s="1">
        <v>16386095</v>
      </c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>
        <v>23675</v>
      </c>
      <c r="BY75" s="1"/>
      <c r="BZ75" s="1">
        <v>289316</v>
      </c>
      <c r="CA75" s="1">
        <v>197923</v>
      </c>
      <c r="CB75" s="1">
        <v>21733</v>
      </c>
      <c r="CC75" s="1">
        <v>23413</v>
      </c>
      <c r="CD75" s="1"/>
      <c r="CE75" s="1"/>
      <c r="CF75" s="1"/>
      <c r="CG75" s="1"/>
      <c r="CH75" s="1">
        <v>16178759</v>
      </c>
      <c r="CI75" s="1">
        <v>16164759</v>
      </c>
      <c r="CJ75" s="1">
        <v>2115163</v>
      </c>
      <c r="CK75" s="1">
        <v>2225166</v>
      </c>
      <c r="CL75" s="1"/>
      <c r="CM75" s="1"/>
      <c r="CN75" s="1">
        <v>2104576</v>
      </c>
      <c r="CO75" s="1">
        <v>2196798</v>
      </c>
      <c r="CP75" s="1">
        <v>9893</v>
      </c>
      <c r="CQ75" s="1">
        <v>9849</v>
      </c>
      <c r="CR75" s="1">
        <v>694</v>
      </c>
      <c r="CS75" s="1">
        <v>18519</v>
      </c>
      <c r="CT75" s="1">
        <v>5061680</v>
      </c>
      <c r="CU75" s="1">
        <v>5079679</v>
      </c>
      <c r="CV75" s="1"/>
      <c r="CW75" s="1"/>
      <c r="CX75" s="2">
        <v>24688564</v>
      </c>
      <c r="CY75" s="1">
        <v>24689179</v>
      </c>
      <c r="CZ75" s="1">
        <v>79735762</v>
      </c>
      <c r="DA75" s="1">
        <v>79640289</v>
      </c>
      <c r="DB75" s="1">
        <v>12904341</v>
      </c>
      <c r="DC75" s="1">
        <v>12904341</v>
      </c>
      <c r="DD75" s="1"/>
      <c r="DE75" s="1"/>
      <c r="DF75" s="1">
        <v>2422411</v>
      </c>
      <c r="DG75" s="1">
        <v>2422411</v>
      </c>
      <c r="DH75" s="1"/>
      <c r="DI75" s="1"/>
      <c r="DJ75" s="1">
        <v>9759242</v>
      </c>
      <c r="DK75" s="1">
        <v>9884968</v>
      </c>
      <c r="DL75" s="24">
        <v>621630</v>
      </c>
      <c r="DM75" s="24">
        <v>621630</v>
      </c>
      <c r="DN75" s="1">
        <v>2119355</v>
      </c>
      <c r="DO75" s="1">
        <v>2119355</v>
      </c>
      <c r="DP75" s="2">
        <v>27826979</v>
      </c>
      <c r="DQ75" s="1">
        <v>27952705</v>
      </c>
      <c r="DR75" s="2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2">
        <v>51908783</v>
      </c>
      <c r="EQ75" s="1">
        <v>51687584</v>
      </c>
      <c r="ER75" s="1">
        <v>7304905</v>
      </c>
      <c r="ES75" s="1">
        <v>7083714</v>
      </c>
      <c r="ET75" s="1"/>
      <c r="EU75" s="1"/>
      <c r="EV75" s="1">
        <v>1406632</v>
      </c>
      <c r="EW75" s="1">
        <v>1406630</v>
      </c>
      <c r="EX75" s="1"/>
      <c r="EY75" s="1"/>
      <c r="EZ75" s="1"/>
      <c r="FA75" s="1"/>
      <c r="FB75" s="1">
        <v>44603878</v>
      </c>
      <c r="FC75" s="1">
        <v>44603870</v>
      </c>
      <c r="FD75" s="1"/>
      <c r="FE75" s="1"/>
      <c r="FF75" s="1"/>
      <c r="FG75" s="1"/>
      <c r="FH75" s="1">
        <v>5704798</v>
      </c>
      <c r="FI75" s="1">
        <v>5704790</v>
      </c>
      <c r="FJ75" s="1">
        <v>40915</v>
      </c>
      <c r="FK75" s="1">
        <v>-1078870</v>
      </c>
      <c r="FL75" s="1"/>
      <c r="FM75" s="1"/>
      <c r="FN75" s="1">
        <v>517</v>
      </c>
      <c r="FO75" s="1">
        <v>17400</v>
      </c>
      <c r="FP75" s="1">
        <v>35336</v>
      </c>
      <c r="FQ75" s="1">
        <v>367080</v>
      </c>
      <c r="FR75" s="1">
        <v>29683</v>
      </c>
      <c r="FS75" s="1">
        <v>29660</v>
      </c>
      <c r="FT75" s="1"/>
      <c r="FU75" s="1"/>
      <c r="FV75" s="1"/>
      <c r="FW75" s="1"/>
      <c r="FX75" s="1"/>
      <c r="FY75" s="1"/>
      <c r="FZ75" s="1">
        <v>87024</v>
      </c>
      <c r="GA75" s="1">
        <v>637024</v>
      </c>
      <c r="GB75" s="1">
        <v>51908783</v>
      </c>
      <c r="GC75" s="1">
        <v>51687584</v>
      </c>
      <c r="GD75" s="1">
        <v>79735762</v>
      </c>
      <c r="GE75" s="1">
        <v>79640289</v>
      </c>
    </row>
    <row r="76" spans="1:187" s="3" customFormat="1" ht="12" x14ac:dyDescent="0.2">
      <c r="A76" s="1">
        <v>20006</v>
      </c>
      <c r="B76" s="1">
        <v>0</v>
      </c>
      <c r="C76" s="1">
        <v>200523324</v>
      </c>
      <c r="D76" s="1" t="s">
        <v>135</v>
      </c>
      <c r="E76" s="1">
        <v>26</v>
      </c>
      <c r="F76" s="1">
        <v>2</v>
      </c>
      <c r="G76" s="1">
        <v>0</v>
      </c>
      <c r="H76" s="1">
        <v>1</v>
      </c>
      <c r="I76" s="1">
        <v>2019</v>
      </c>
      <c r="J76" s="1">
        <v>4</v>
      </c>
      <c r="K76" s="1" t="s">
        <v>0</v>
      </c>
      <c r="L76" s="1">
        <v>1</v>
      </c>
      <c r="M76" s="1">
        <v>30</v>
      </c>
      <c r="N76" s="1">
        <v>0</v>
      </c>
      <c r="O76" s="1">
        <v>43876.596076388887</v>
      </c>
      <c r="P76" s="1">
        <v>3120776</v>
      </c>
      <c r="Q76" s="1">
        <v>3120776</v>
      </c>
      <c r="R76" s="1">
        <v>2020654</v>
      </c>
      <c r="S76" s="1">
        <v>2078429</v>
      </c>
      <c r="T76" s="1">
        <v>1100122</v>
      </c>
      <c r="U76" s="1">
        <v>1042347</v>
      </c>
      <c r="V76" s="1">
        <v>39050</v>
      </c>
      <c r="W76" s="1">
        <v>39050</v>
      </c>
      <c r="X76" s="1">
        <v>39050</v>
      </c>
      <c r="Y76" s="1">
        <v>39050</v>
      </c>
      <c r="Z76" s="1">
        <v>0</v>
      </c>
      <c r="AA76" s="1">
        <v>0</v>
      </c>
      <c r="AB76" s="1">
        <v>54030485</v>
      </c>
      <c r="AC76" s="1">
        <v>48255015</v>
      </c>
      <c r="AD76" s="1">
        <v>22498860</v>
      </c>
      <c r="AE76" s="1">
        <v>22962676</v>
      </c>
      <c r="AF76" s="1">
        <v>11420914</v>
      </c>
      <c r="AG76" s="1">
        <v>5297503</v>
      </c>
      <c r="AH76" s="1">
        <v>1337196</v>
      </c>
      <c r="AI76" s="1">
        <v>1221321</v>
      </c>
      <c r="AJ76" s="1">
        <v>982902</v>
      </c>
      <c r="AK76" s="1">
        <v>982902</v>
      </c>
      <c r="AL76" s="1">
        <v>17790613</v>
      </c>
      <c r="AM76" s="1">
        <v>17790613</v>
      </c>
      <c r="AN76" s="1"/>
      <c r="AO76" s="1"/>
      <c r="AP76" s="1"/>
      <c r="AQ76" s="1"/>
      <c r="AR76" s="1">
        <v>5780047</v>
      </c>
      <c r="AS76" s="1">
        <v>5749836</v>
      </c>
      <c r="AT76" s="1"/>
      <c r="AU76" s="1"/>
      <c r="AV76" s="2">
        <v>60910654</v>
      </c>
      <c r="AW76" s="1">
        <v>55047198</v>
      </c>
      <c r="AX76" s="1">
        <v>998238</v>
      </c>
      <c r="AY76" s="1">
        <v>998238</v>
      </c>
      <c r="AZ76" s="1">
        <v>68213</v>
      </c>
      <c r="BA76" s="1">
        <v>68213</v>
      </c>
      <c r="BB76" s="1"/>
      <c r="BC76" s="1"/>
      <c r="BD76" s="1"/>
      <c r="BE76" s="1"/>
      <c r="BF76" s="1">
        <v>930025</v>
      </c>
      <c r="BG76" s="1">
        <v>930025</v>
      </c>
      <c r="BH76" s="1"/>
      <c r="BI76" s="1"/>
      <c r="BJ76" s="1"/>
      <c r="BK76" s="1"/>
      <c r="BL76" s="1">
        <v>10898354</v>
      </c>
      <c r="BM76" s="1">
        <v>16513483</v>
      </c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>
        <v>16530</v>
      </c>
      <c r="BY76" s="1">
        <v>23675</v>
      </c>
      <c r="BZ76" s="1">
        <v>255742</v>
      </c>
      <c r="CA76" s="1">
        <v>289316</v>
      </c>
      <c r="CB76" s="1">
        <v>21141</v>
      </c>
      <c r="CC76" s="1">
        <v>21733</v>
      </c>
      <c r="CD76" s="1"/>
      <c r="CE76" s="1"/>
      <c r="CF76" s="1"/>
      <c r="CG76" s="1"/>
      <c r="CH76" s="1">
        <v>10604941</v>
      </c>
      <c r="CI76" s="1">
        <v>16178759</v>
      </c>
      <c r="CJ76" s="1">
        <v>870336</v>
      </c>
      <c r="CK76" s="1">
        <v>2115163</v>
      </c>
      <c r="CL76" s="1"/>
      <c r="CM76" s="1"/>
      <c r="CN76" s="1">
        <v>364600</v>
      </c>
      <c r="CO76" s="1">
        <v>2104576</v>
      </c>
      <c r="CP76" s="1">
        <v>505730</v>
      </c>
      <c r="CQ76" s="1">
        <v>9893</v>
      </c>
      <c r="CR76" s="1">
        <v>6</v>
      </c>
      <c r="CS76" s="1">
        <v>694</v>
      </c>
      <c r="CT76" s="1">
        <v>5061680</v>
      </c>
      <c r="CU76" s="1">
        <v>5061680</v>
      </c>
      <c r="CV76" s="1"/>
      <c r="CW76" s="1"/>
      <c r="CX76" s="2">
        <v>17828608</v>
      </c>
      <c r="CY76" s="1">
        <v>24688564</v>
      </c>
      <c r="CZ76" s="1">
        <v>78739262</v>
      </c>
      <c r="DA76" s="1">
        <v>79735762</v>
      </c>
      <c r="DB76" s="1">
        <v>12904341</v>
      </c>
      <c r="DC76" s="1">
        <v>12904341</v>
      </c>
      <c r="DD76" s="1"/>
      <c r="DE76" s="1"/>
      <c r="DF76" s="1">
        <v>2393855</v>
      </c>
      <c r="DG76" s="1">
        <v>2422411</v>
      </c>
      <c r="DH76" s="1"/>
      <c r="DI76" s="1"/>
      <c r="DJ76" s="1">
        <v>8364735</v>
      </c>
      <c r="DK76" s="1">
        <v>9759242</v>
      </c>
      <c r="DL76" s="24">
        <v>621630</v>
      </c>
      <c r="DM76" s="24">
        <v>621630</v>
      </c>
      <c r="DN76" s="1">
        <v>1576788</v>
      </c>
      <c r="DO76" s="1">
        <v>2119355</v>
      </c>
      <c r="DP76" s="2">
        <v>25861349</v>
      </c>
      <c r="DQ76" s="1">
        <v>27826979</v>
      </c>
      <c r="DR76" s="2">
        <v>0</v>
      </c>
      <c r="DS76" s="1">
        <v>0</v>
      </c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2">
        <v>52877913</v>
      </c>
      <c r="EQ76" s="1">
        <v>51908783</v>
      </c>
      <c r="ER76" s="1">
        <v>8277748</v>
      </c>
      <c r="ES76" s="1">
        <v>7304905</v>
      </c>
      <c r="ET76" s="1"/>
      <c r="EU76" s="1"/>
      <c r="EV76" s="1">
        <v>1466145</v>
      </c>
      <c r="EW76" s="1">
        <v>1406632</v>
      </c>
      <c r="EX76" s="1"/>
      <c r="EY76" s="1"/>
      <c r="EZ76" s="1"/>
      <c r="FA76" s="1"/>
      <c r="FB76" s="1">
        <v>44600165</v>
      </c>
      <c r="FC76" s="1">
        <v>44603878</v>
      </c>
      <c r="FD76" s="1"/>
      <c r="FE76" s="1"/>
      <c r="FF76" s="1"/>
      <c r="FG76" s="1"/>
      <c r="FH76" s="1">
        <v>5704798</v>
      </c>
      <c r="FI76" s="1">
        <v>5704798</v>
      </c>
      <c r="FJ76" s="1">
        <v>39699</v>
      </c>
      <c r="FK76" s="1">
        <v>40915</v>
      </c>
      <c r="FL76" s="1"/>
      <c r="FM76" s="1"/>
      <c r="FN76" s="1">
        <v>362</v>
      </c>
      <c r="FO76" s="1">
        <v>517</v>
      </c>
      <c r="FP76" s="1">
        <v>35336</v>
      </c>
      <c r="FQ76" s="1">
        <v>35336</v>
      </c>
      <c r="FR76" s="1">
        <v>33855</v>
      </c>
      <c r="FS76" s="1">
        <v>29683</v>
      </c>
      <c r="FT76" s="1"/>
      <c r="FU76" s="1"/>
      <c r="FV76" s="1"/>
      <c r="FW76" s="1"/>
      <c r="FX76" s="1"/>
      <c r="FY76" s="1"/>
      <c r="FZ76" s="1">
        <v>997553</v>
      </c>
      <c r="GA76" s="1">
        <v>87024</v>
      </c>
      <c r="GB76" s="1">
        <v>52877913</v>
      </c>
      <c r="GC76" s="1">
        <v>51908783</v>
      </c>
      <c r="GD76" s="1">
        <v>78739262</v>
      </c>
      <c r="GE76" s="1">
        <v>79735762</v>
      </c>
    </row>
    <row r="77" spans="1:187" s="3" customFormat="1" x14ac:dyDescent="0.25">
      <c r="A77" s="1">
        <v>20006</v>
      </c>
      <c r="B77" s="1">
        <v>0</v>
      </c>
      <c r="C77" s="3">
        <v>200523324</v>
      </c>
      <c r="D77" s="3" t="s">
        <v>135</v>
      </c>
      <c r="E77" s="4">
        <v>26</v>
      </c>
      <c r="F77" s="4">
        <v>2</v>
      </c>
      <c r="G77" s="4">
        <v>0</v>
      </c>
      <c r="H77" s="4">
        <v>1</v>
      </c>
      <c r="I77" s="1">
        <v>2018</v>
      </c>
      <c r="J77" s="1">
        <v>4</v>
      </c>
      <c r="K77" s="3" t="s">
        <v>0</v>
      </c>
      <c r="L77" s="1">
        <v>1</v>
      </c>
      <c r="M77" s="1">
        <v>30</v>
      </c>
      <c r="N77" s="5">
        <v>0</v>
      </c>
      <c r="O77" s="6">
        <v>43508.892222222225</v>
      </c>
      <c r="P77" s="1">
        <v>1965287</v>
      </c>
      <c r="Q77" s="1">
        <v>3120776</v>
      </c>
      <c r="R77" s="1">
        <v>1965287</v>
      </c>
      <c r="S77" s="1">
        <v>2020654</v>
      </c>
      <c r="T77" s="1">
        <v>0</v>
      </c>
      <c r="U77" s="1">
        <v>1100122</v>
      </c>
      <c r="V77" s="1">
        <v>39050</v>
      </c>
      <c r="W77" s="1">
        <v>39050</v>
      </c>
      <c r="X77" s="1">
        <v>39050</v>
      </c>
      <c r="Y77" s="1">
        <v>39050</v>
      </c>
      <c r="Z77" s="1">
        <v>0</v>
      </c>
      <c r="AA77" s="1">
        <v>0</v>
      </c>
      <c r="AB77" s="1">
        <v>50291187</v>
      </c>
      <c r="AC77" s="1">
        <v>54030485</v>
      </c>
      <c r="AD77" s="1">
        <v>21882468</v>
      </c>
      <c r="AE77" s="1">
        <v>22498860</v>
      </c>
      <c r="AF77" s="1">
        <v>8539436</v>
      </c>
      <c r="AG77" s="1">
        <v>11420914</v>
      </c>
      <c r="AH77" s="1">
        <v>1337196</v>
      </c>
      <c r="AI77" s="1">
        <v>1337196</v>
      </c>
      <c r="AJ77" s="1">
        <v>982902</v>
      </c>
      <c r="AK77" s="1">
        <v>982902</v>
      </c>
      <c r="AL77" s="1">
        <v>17549185</v>
      </c>
      <c r="AM77" s="1">
        <v>17790613</v>
      </c>
      <c r="AN77" s="1"/>
      <c r="AO77" s="1"/>
      <c r="AP77" s="1"/>
      <c r="AQ77" s="1"/>
      <c r="AR77" s="1">
        <v>13009140</v>
      </c>
      <c r="AS77" s="1">
        <v>5780047</v>
      </c>
      <c r="AT77" s="1"/>
      <c r="AU77" s="1"/>
      <c r="AV77" s="2">
        <v>63300327</v>
      </c>
      <c r="AW77" s="1">
        <v>60910654</v>
      </c>
      <c r="AX77" s="1">
        <v>975475</v>
      </c>
      <c r="AY77" s="1">
        <v>998238</v>
      </c>
      <c r="AZ77" s="1">
        <v>45450</v>
      </c>
      <c r="BA77" s="1">
        <v>68213</v>
      </c>
      <c r="BB77" s="1"/>
      <c r="BC77" s="1"/>
      <c r="BD77" s="1"/>
      <c r="BE77" s="1"/>
      <c r="BF77" s="1">
        <v>930025</v>
      </c>
      <c r="BG77" s="1">
        <v>930025</v>
      </c>
      <c r="BH77" s="1"/>
      <c r="BI77" s="1"/>
      <c r="BJ77" s="1"/>
      <c r="BK77" s="1"/>
      <c r="BL77" s="1">
        <v>52824958</v>
      </c>
      <c r="BM77" s="1">
        <v>10898354</v>
      </c>
      <c r="BN77" s="1"/>
      <c r="BO77" s="1"/>
      <c r="BP77" s="1">
        <v>11556</v>
      </c>
      <c r="BQ77" s="1"/>
      <c r="BR77" s="1"/>
      <c r="BS77" s="1"/>
      <c r="BT77" s="1"/>
      <c r="BU77" s="1"/>
      <c r="BV77" s="1"/>
      <c r="BW77" s="1"/>
      <c r="BX77" s="1">
        <v>52312</v>
      </c>
      <c r="BY77" s="1">
        <v>16530</v>
      </c>
      <c r="BZ77" s="1">
        <v>350029</v>
      </c>
      <c r="CA77" s="1">
        <v>255742</v>
      </c>
      <c r="CB77" s="1">
        <v>58046</v>
      </c>
      <c r="CC77" s="1">
        <v>21141</v>
      </c>
      <c r="CD77" s="1"/>
      <c r="CE77" s="1"/>
      <c r="CF77" s="1"/>
      <c r="CG77" s="1"/>
      <c r="CH77" s="1">
        <v>52353015</v>
      </c>
      <c r="CI77" s="1">
        <v>10604941</v>
      </c>
      <c r="CJ77" s="1">
        <v>4072216</v>
      </c>
      <c r="CK77" s="1">
        <v>870336</v>
      </c>
      <c r="CL77" s="1"/>
      <c r="CM77" s="1"/>
      <c r="CN77" s="1">
        <v>2542</v>
      </c>
      <c r="CO77" s="1">
        <v>364600</v>
      </c>
      <c r="CP77" s="1">
        <v>4069668</v>
      </c>
      <c r="CQ77" s="1">
        <v>505730</v>
      </c>
      <c r="CR77" s="1">
        <v>6</v>
      </c>
      <c r="CS77" s="1">
        <v>6</v>
      </c>
      <c r="CT77" s="1">
        <v>6359852</v>
      </c>
      <c r="CU77" s="1">
        <v>5061680</v>
      </c>
      <c r="CV77" s="1"/>
      <c r="CW77" s="1"/>
      <c r="CX77" s="2">
        <v>64232501</v>
      </c>
      <c r="CY77" s="1">
        <v>17828608</v>
      </c>
      <c r="CZ77" s="1">
        <v>127532828</v>
      </c>
      <c r="DA77" s="1">
        <v>78739262</v>
      </c>
      <c r="DB77" s="1">
        <v>12904341</v>
      </c>
      <c r="DC77" s="1">
        <v>12904341</v>
      </c>
      <c r="DD77" s="1"/>
      <c r="DE77" s="1"/>
      <c r="DF77" s="1">
        <v>2386872</v>
      </c>
      <c r="DG77" s="1">
        <v>2393855</v>
      </c>
      <c r="DH77" s="1"/>
      <c r="DI77" s="1"/>
      <c r="DJ77" s="1">
        <v>9395351</v>
      </c>
      <c r="DK77" s="1">
        <v>8364735</v>
      </c>
      <c r="DL77" s="24">
        <v>621630</v>
      </c>
      <c r="DM77" s="24">
        <v>621630</v>
      </c>
      <c r="DN77" s="1"/>
      <c r="DO77" s="1">
        <v>1576788</v>
      </c>
      <c r="DP77" s="2">
        <v>25308194</v>
      </c>
      <c r="DQ77" s="1">
        <v>25861349</v>
      </c>
      <c r="DR77" s="2">
        <v>7200000</v>
      </c>
      <c r="DS77" s="1">
        <v>0</v>
      </c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>
        <v>7200000</v>
      </c>
      <c r="EM77" s="1"/>
      <c r="EN77" s="1"/>
      <c r="EO77" s="1"/>
      <c r="EP77" s="2">
        <v>95024634</v>
      </c>
      <c r="EQ77" s="1">
        <v>52877913</v>
      </c>
      <c r="ER77" s="1">
        <v>9000050</v>
      </c>
      <c r="ES77" s="1">
        <v>8277748</v>
      </c>
      <c r="ET77" s="1"/>
      <c r="EU77" s="1"/>
      <c r="EV77" s="1">
        <v>1649126</v>
      </c>
      <c r="EW77" s="1">
        <v>1466145</v>
      </c>
      <c r="EX77" s="1"/>
      <c r="EY77" s="1"/>
      <c r="EZ77" s="1"/>
      <c r="FA77" s="1"/>
      <c r="FB77" s="1">
        <v>86024584</v>
      </c>
      <c r="FC77" s="1">
        <v>44600165</v>
      </c>
      <c r="FD77" s="1"/>
      <c r="FE77" s="1"/>
      <c r="FF77" s="1"/>
      <c r="FG77" s="1"/>
      <c r="FH77" s="1">
        <v>5644692</v>
      </c>
      <c r="FI77" s="1">
        <v>5704798</v>
      </c>
      <c r="FJ77" s="1">
        <v>139087</v>
      </c>
      <c r="FK77" s="1">
        <v>39699</v>
      </c>
      <c r="FL77" s="1"/>
      <c r="FM77" s="1"/>
      <c r="FN77" s="1">
        <v>372</v>
      </c>
      <c r="FO77" s="1">
        <v>362</v>
      </c>
      <c r="FP77" s="1">
        <v>284454</v>
      </c>
      <c r="FQ77" s="1">
        <v>35336</v>
      </c>
      <c r="FR77" s="1">
        <v>36274</v>
      </c>
      <c r="FS77" s="1">
        <v>33855</v>
      </c>
      <c r="FT77" s="1"/>
      <c r="FU77" s="1"/>
      <c r="FV77" s="1"/>
      <c r="FW77" s="1"/>
      <c r="FX77" s="1"/>
      <c r="FY77" s="1"/>
      <c r="FZ77" s="1">
        <v>1246045</v>
      </c>
      <c r="GA77" s="1">
        <v>997553</v>
      </c>
      <c r="GB77" s="1">
        <v>102224634</v>
      </c>
      <c r="GC77" s="1">
        <v>52877913</v>
      </c>
      <c r="GD77" s="1">
        <v>127532828</v>
      </c>
      <c r="GE77" s="1">
        <v>78739262</v>
      </c>
    </row>
    <row r="78" spans="1:187" s="3" customFormat="1" ht="12" x14ac:dyDescent="0.2">
      <c r="A78" s="1">
        <v>20006</v>
      </c>
      <c r="B78" s="1">
        <v>0</v>
      </c>
      <c r="C78" s="1">
        <v>200547509</v>
      </c>
      <c r="D78" s="1" t="s">
        <v>136</v>
      </c>
      <c r="E78" s="1">
        <v>26</v>
      </c>
      <c r="F78" s="1">
        <v>8</v>
      </c>
      <c r="G78" s="1">
        <v>0</v>
      </c>
      <c r="H78" s="1">
        <v>1</v>
      </c>
      <c r="I78" s="1">
        <v>2021</v>
      </c>
      <c r="J78" s="1">
        <v>4</v>
      </c>
      <c r="K78" s="1" t="s">
        <v>0</v>
      </c>
      <c r="L78" s="1">
        <v>1</v>
      </c>
      <c r="M78" s="1">
        <v>30</v>
      </c>
      <c r="N78" s="1">
        <v>0</v>
      </c>
      <c r="O78" s="1">
        <v>44607.667060185187</v>
      </c>
      <c r="P78" s="1">
        <v>1424383.83</v>
      </c>
      <c r="Q78" s="1">
        <v>696922.34</v>
      </c>
      <c r="R78" s="1">
        <v>1278347.99</v>
      </c>
      <c r="S78" s="1">
        <v>660280.16</v>
      </c>
      <c r="T78" s="1">
        <v>146035.84</v>
      </c>
      <c r="U78" s="1">
        <v>36642.18</v>
      </c>
      <c r="V78" s="1">
        <v>563.92999999999995</v>
      </c>
      <c r="W78" s="1">
        <v>563.92999999999995</v>
      </c>
      <c r="X78" s="1">
        <v>343.06</v>
      </c>
      <c r="Y78" s="1">
        <v>399.45</v>
      </c>
      <c r="Z78" s="1">
        <v>220.87</v>
      </c>
      <c r="AA78" s="1">
        <v>164.48</v>
      </c>
      <c r="AB78" s="1">
        <v>1820505.61</v>
      </c>
      <c r="AC78" s="1">
        <v>1820505.61</v>
      </c>
      <c r="AD78" s="1">
        <v>1225.26</v>
      </c>
      <c r="AE78" s="1">
        <v>1225.26</v>
      </c>
      <c r="AF78" s="1">
        <v>29482</v>
      </c>
      <c r="AG78" s="1">
        <v>29482</v>
      </c>
      <c r="AH78" s="1"/>
      <c r="AI78" s="1"/>
      <c r="AJ78" s="1"/>
      <c r="AK78" s="1"/>
      <c r="AL78" s="1">
        <v>1789798.35</v>
      </c>
      <c r="AM78" s="1">
        <v>1789798.35</v>
      </c>
      <c r="AN78" s="1"/>
      <c r="AO78" s="1"/>
      <c r="AP78" s="1"/>
      <c r="AQ78" s="1"/>
      <c r="AR78" s="1"/>
      <c r="AS78" s="1"/>
      <c r="AT78" s="1"/>
      <c r="AU78" s="1"/>
      <c r="AV78" s="2">
        <v>1966762.32</v>
      </c>
      <c r="AW78" s="1">
        <v>1857312.27</v>
      </c>
      <c r="AX78" s="1">
        <v>634535.23</v>
      </c>
      <c r="AY78" s="1">
        <v>158862.31</v>
      </c>
      <c r="AZ78" s="1">
        <v>530179.4</v>
      </c>
      <c r="BA78" s="1">
        <v>92399.48</v>
      </c>
      <c r="BB78" s="1"/>
      <c r="BC78" s="1"/>
      <c r="BD78" s="1">
        <v>104355.83</v>
      </c>
      <c r="BE78" s="1">
        <v>66462.83</v>
      </c>
      <c r="BF78" s="1"/>
      <c r="BG78" s="1"/>
      <c r="BH78" s="1"/>
      <c r="BI78" s="1"/>
      <c r="BJ78" s="1"/>
      <c r="BK78" s="1"/>
      <c r="BL78" s="1">
        <v>359921.31</v>
      </c>
      <c r="BM78" s="1">
        <v>565384.22</v>
      </c>
      <c r="BN78" s="1"/>
      <c r="BO78" s="1"/>
      <c r="BP78" s="1">
        <v>3447.35</v>
      </c>
      <c r="BQ78" s="1">
        <v>14289.89</v>
      </c>
      <c r="BR78" s="1"/>
      <c r="BS78" s="1"/>
      <c r="BT78" s="1"/>
      <c r="BU78" s="1"/>
      <c r="BV78" s="1">
        <v>4508.2299999999996</v>
      </c>
      <c r="BW78" s="1">
        <v>50316.56</v>
      </c>
      <c r="BX78" s="1">
        <v>44473.66</v>
      </c>
      <c r="BY78" s="1"/>
      <c r="BZ78" s="1"/>
      <c r="CA78" s="1"/>
      <c r="CB78" s="1">
        <v>69.540000000000006</v>
      </c>
      <c r="CC78" s="1">
        <v>5364.99</v>
      </c>
      <c r="CD78" s="1"/>
      <c r="CE78" s="1"/>
      <c r="CF78" s="1">
        <v>20369.64</v>
      </c>
      <c r="CG78" s="1"/>
      <c r="CH78" s="1">
        <v>287052.89</v>
      </c>
      <c r="CI78" s="1">
        <v>495412.78</v>
      </c>
      <c r="CJ78" s="1">
        <v>5702.6</v>
      </c>
      <c r="CK78" s="1">
        <v>1161.81</v>
      </c>
      <c r="CL78" s="1"/>
      <c r="CM78" s="1"/>
      <c r="CN78" s="1">
        <v>4836.68</v>
      </c>
      <c r="CO78" s="1">
        <v>269.33999999999997</v>
      </c>
      <c r="CP78" s="1">
        <v>865.92</v>
      </c>
      <c r="CQ78" s="1">
        <v>892.47</v>
      </c>
      <c r="CR78" s="1"/>
      <c r="CS78" s="1"/>
      <c r="CT78" s="1"/>
      <c r="CU78" s="1"/>
      <c r="CV78" s="1"/>
      <c r="CW78" s="1"/>
      <c r="CX78" s="2">
        <v>1000159.14</v>
      </c>
      <c r="CY78" s="1">
        <v>725408.34</v>
      </c>
      <c r="CZ78" s="1">
        <v>2966921.46</v>
      </c>
      <c r="DA78" s="1">
        <v>2582720.61</v>
      </c>
      <c r="DB78" s="1">
        <v>600372.72</v>
      </c>
      <c r="DC78" s="1">
        <v>600372.72</v>
      </c>
      <c r="DD78" s="1">
        <v>233683.01</v>
      </c>
      <c r="DE78" s="1">
        <v>233683.01</v>
      </c>
      <c r="DF78" s="1">
        <v>637139.73</v>
      </c>
      <c r="DG78" s="1">
        <v>572362.34</v>
      </c>
      <c r="DH78" s="1"/>
      <c r="DI78" s="1"/>
      <c r="DJ78" s="1">
        <v>676313.75</v>
      </c>
      <c r="DK78" s="1">
        <v>174534.2</v>
      </c>
      <c r="DL78" s="24"/>
      <c r="DM78" s="24"/>
      <c r="DN78" s="1"/>
      <c r="DO78" s="1"/>
      <c r="DP78" s="2">
        <v>2147509.21</v>
      </c>
      <c r="DQ78" s="1">
        <v>1580952.27</v>
      </c>
      <c r="DR78" s="2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2">
        <v>819412.25</v>
      </c>
      <c r="EQ78" s="1">
        <v>1001768.34</v>
      </c>
      <c r="ER78" s="1">
        <v>534367.74</v>
      </c>
      <c r="ES78" s="1">
        <v>716723.83</v>
      </c>
      <c r="ET78" s="1"/>
      <c r="EU78" s="1"/>
      <c r="EV78" s="1">
        <v>4800</v>
      </c>
      <c r="EW78" s="1">
        <v>28358.38</v>
      </c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>
        <v>502080</v>
      </c>
      <c r="FJ78" s="1">
        <v>182707.7</v>
      </c>
      <c r="FK78" s="1">
        <v>141774.13</v>
      </c>
      <c r="FL78" s="1"/>
      <c r="FM78" s="1"/>
      <c r="FN78" s="1">
        <v>53882.22</v>
      </c>
      <c r="FO78" s="1">
        <v>2607.6799999999998</v>
      </c>
      <c r="FP78" s="1"/>
      <c r="FQ78" s="1"/>
      <c r="FR78" s="1">
        <v>243079.18</v>
      </c>
      <c r="FS78" s="1">
        <v>24656.400000000001</v>
      </c>
      <c r="FT78" s="1"/>
      <c r="FU78" s="1"/>
      <c r="FV78" s="1">
        <v>285044.51</v>
      </c>
      <c r="FW78" s="1">
        <v>285044.51</v>
      </c>
      <c r="FX78" s="1"/>
      <c r="FY78" s="1"/>
      <c r="FZ78" s="1">
        <v>49898.64</v>
      </c>
      <c r="GA78" s="1">
        <v>17247.240000000002</v>
      </c>
      <c r="GB78" s="1">
        <v>819412.25</v>
      </c>
      <c r="GC78" s="1">
        <v>1001768.34</v>
      </c>
      <c r="GD78" s="1">
        <v>2966921.46</v>
      </c>
      <c r="GE78" s="1">
        <v>2582720.61</v>
      </c>
    </row>
    <row r="79" spans="1:187" s="3" customFormat="1" ht="12" x14ac:dyDescent="0.2">
      <c r="A79" s="1">
        <v>20006</v>
      </c>
      <c r="B79" s="1">
        <v>0</v>
      </c>
      <c r="C79" s="1">
        <v>200547509</v>
      </c>
      <c r="D79" s="1" t="s">
        <v>136</v>
      </c>
      <c r="E79" s="1">
        <v>26</v>
      </c>
      <c r="F79" s="1">
        <v>8</v>
      </c>
      <c r="G79" s="1">
        <v>0</v>
      </c>
      <c r="H79" s="1">
        <v>1</v>
      </c>
      <c r="I79" s="1">
        <v>2020</v>
      </c>
      <c r="J79" s="1">
        <v>4</v>
      </c>
      <c r="K79" s="1" t="s">
        <v>0</v>
      </c>
      <c r="L79" s="1">
        <v>1</v>
      </c>
      <c r="M79" s="1">
        <v>30</v>
      </c>
      <c r="N79" s="1">
        <v>0</v>
      </c>
      <c r="O79" s="1">
        <v>44241.851655092592</v>
      </c>
      <c r="P79" s="1">
        <v>4907855.0199999996</v>
      </c>
      <c r="Q79" s="1">
        <v>1424383.83</v>
      </c>
      <c r="R79" s="1">
        <v>3348420.94</v>
      </c>
      <c r="S79" s="1">
        <v>1278347.99</v>
      </c>
      <c r="T79" s="1">
        <v>1559434.08</v>
      </c>
      <c r="U79" s="1">
        <v>146035.84</v>
      </c>
      <c r="V79" s="1">
        <v>563.92999999999995</v>
      </c>
      <c r="W79" s="1">
        <v>563.92999999999995</v>
      </c>
      <c r="X79" s="1">
        <v>286.67</v>
      </c>
      <c r="Y79" s="1">
        <v>343.06</v>
      </c>
      <c r="Z79" s="1">
        <v>277.26</v>
      </c>
      <c r="AA79" s="1">
        <v>220.87</v>
      </c>
      <c r="AB79" s="1">
        <v>2293495.2000000002</v>
      </c>
      <c r="AC79" s="1">
        <v>1820505.61</v>
      </c>
      <c r="AD79" s="1">
        <v>1225.26</v>
      </c>
      <c r="AE79" s="1">
        <v>1225.26</v>
      </c>
      <c r="AF79" s="1">
        <v>29482</v>
      </c>
      <c r="AG79" s="1">
        <v>29482</v>
      </c>
      <c r="AH79" s="1"/>
      <c r="AI79" s="1"/>
      <c r="AJ79" s="1"/>
      <c r="AK79" s="1"/>
      <c r="AL79" s="1">
        <v>2262787.94</v>
      </c>
      <c r="AM79" s="1">
        <v>1789798.35</v>
      </c>
      <c r="AN79" s="1"/>
      <c r="AO79" s="1"/>
      <c r="AP79" s="1"/>
      <c r="AQ79" s="1"/>
      <c r="AR79" s="1"/>
      <c r="AS79" s="1"/>
      <c r="AT79" s="1"/>
      <c r="AU79" s="1"/>
      <c r="AV79" s="2">
        <v>3853206.54</v>
      </c>
      <c r="AW79" s="1">
        <v>1966762.32</v>
      </c>
      <c r="AX79" s="1">
        <v>1276329.81</v>
      </c>
      <c r="AY79" s="1">
        <v>634535.23</v>
      </c>
      <c r="AZ79" s="1">
        <v>609738.38</v>
      </c>
      <c r="BA79" s="1">
        <v>530179.4</v>
      </c>
      <c r="BB79" s="1">
        <v>591389.04</v>
      </c>
      <c r="BC79" s="1"/>
      <c r="BD79" s="1">
        <v>75202.39</v>
      </c>
      <c r="BE79" s="1">
        <v>104355.83</v>
      </c>
      <c r="BF79" s="1"/>
      <c r="BG79" s="1"/>
      <c r="BH79" s="1"/>
      <c r="BI79" s="1"/>
      <c r="BJ79" s="1"/>
      <c r="BK79" s="1"/>
      <c r="BL79" s="1">
        <v>443063.72</v>
      </c>
      <c r="BM79" s="1">
        <v>488674.31</v>
      </c>
      <c r="BN79" s="1"/>
      <c r="BO79" s="1"/>
      <c r="BP79" s="1">
        <v>252.53</v>
      </c>
      <c r="BQ79" s="1">
        <v>3447.35</v>
      </c>
      <c r="BR79" s="1"/>
      <c r="BS79" s="1"/>
      <c r="BT79" s="1"/>
      <c r="BU79" s="1"/>
      <c r="BV79" s="1">
        <v>1218.3</v>
      </c>
      <c r="BW79" s="1">
        <v>4508.2299999999996</v>
      </c>
      <c r="BX79" s="1">
        <v>44473.66</v>
      </c>
      <c r="BY79" s="1">
        <v>44473.66</v>
      </c>
      <c r="BZ79" s="1"/>
      <c r="CA79" s="1"/>
      <c r="CB79" s="1">
        <v>30153.17</v>
      </c>
      <c r="CC79" s="1">
        <v>69.540000000000006</v>
      </c>
      <c r="CD79" s="1"/>
      <c r="CE79" s="1"/>
      <c r="CF79" s="1">
        <v>33905.379999999997</v>
      </c>
      <c r="CG79" s="1">
        <v>20369.64</v>
      </c>
      <c r="CH79" s="1">
        <v>333060.68</v>
      </c>
      <c r="CI79" s="1">
        <v>415805.89</v>
      </c>
      <c r="CJ79" s="1">
        <v>92203.55</v>
      </c>
      <c r="CK79" s="1">
        <v>5702.6</v>
      </c>
      <c r="CL79" s="1"/>
      <c r="CM79" s="1"/>
      <c r="CN79" s="1">
        <v>91417.02</v>
      </c>
      <c r="CO79" s="1">
        <v>4836.68</v>
      </c>
      <c r="CP79" s="1">
        <v>786.53</v>
      </c>
      <c r="CQ79" s="1">
        <v>865.92</v>
      </c>
      <c r="CR79" s="1"/>
      <c r="CS79" s="1"/>
      <c r="CT79" s="1"/>
      <c r="CU79" s="1"/>
      <c r="CV79" s="1"/>
      <c r="CW79" s="1"/>
      <c r="CX79" s="2">
        <v>1811597.08</v>
      </c>
      <c r="CY79" s="1">
        <v>1128912.1399999999</v>
      </c>
      <c r="CZ79" s="1">
        <v>5664803.6200000001</v>
      </c>
      <c r="DA79" s="1">
        <v>3095674.46</v>
      </c>
      <c r="DB79" s="1">
        <v>600372.72</v>
      </c>
      <c r="DC79" s="1">
        <v>600372.72</v>
      </c>
      <c r="DD79" s="1">
        <v>233683.01</v>
      </c>
      <c r="DE79" s="1">
        <v>233683.01</v>
      </c>
      <c r="DF79" s="1">
        <v>2478202.11</v>
      </c>
      <c r="DG79" s="1">
        <v>637139.73</v>
      </c>
      <c r="DH79" s="1"/>
      <c r="DI79" s="1"/>
      <c r="DJ79" s="1">
        <v>1233826.24</v>
      </c>
      <c r="DK79" s="1">
        <v>676344.35</v>
      </c>
      <c r="DL79" s="24"/>
      <c r="DM79" s="24"/>
      <c r="DN79" s="1"/>
      <c r="DO79" s="1"/>
      <c r="DP79" s="2">
        <v>4546084.08</v>
      </c>
      <c r="DQ79" s="1">
        <v>2147539.81</v>
      </c>
      <c r="DR79" s="2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2">
        <v>1118758.54</v>
      </c>
      <c r="EQ79" s="1">
        <v>948134.64</v>
      </c>
      <c r="ER79" s="1">
        <v>1118758.54</v>
      </c>
      <c r="ES79" s="1">
        <v>663090.13</v>
      </c>
      <c r="ET79" s="1"/>
      <c r="EU79" s="1"/>
      <c r="EV79" s="1">
        <v>58700</v>
      </c>
      <c r="EW79" s="1">
        <v>4800</v>
      </c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>
        <v>122277.32</v>
      </c>
      <c r="FI79" s="1"/>
      <c r="FJ79" s="1">
        <v>556981.88</v>
      </c>
      <c r="FK79" s="1">
        <v>182707.7</v>
      </c>
      <c r="FL79" s="1"/>
      <c r="FM79" s="1"/>
      <c r="FN79" s="1">
        <v>53882.22</v>
      </c>
      <c r="FO79" s="1">
        <v>32504.92</v>
      </c>
      <c r="FP79" s="1"/>
      <c r="FQ79" s="1"/>
      <c r="FR79" s="1">
        <v>134698.21</v>
      </c>
      <c r="FS79" s="1">
        <v>243079.18</v>
      </c>
      <c r="FT79" s="1"/>
      <c r="FU79" s="1"/>
      <c r="FV79" s="1"/>
      <c r="FW79" s="1">
        <v>285044.51</v>
      </c>
      <c r="FX79" s="1"/>
      <c r="FY79" s="1"/>
      <c r="FZ79" s="1">
        <v>192218.91</v>
      </c>
      <c r="GA79" s="1">
        <v>199998.33</v>
      </c>
      <c r="GB79" s="1">
        <v>1118758.54</v>
      </c>
      <c r="GC79" s="1">
        <v>948134.64</v>
      </c>
      <c r="GD79" s="1">
        <v>5664842.6200000001</v>
      </c>
      <c r="GE79" s="1">
        <v>3095674.45</v>
      </c>
    </row>
    <row r="80" spans="1:187" s="3" customFormat="1" ht="12" x14ac:dyDescent="0.2">
      <c r="A80" s="1">
        <v>20006</v>
      </c>
      <c r="B80" s="1">
        <v>0</v>
      </c>
      <c r="C80" s="1">
        <v>200547509</v>
      </c>
      <c r="D80" s="1" t="s">
        <v>136</v>
      </c>
      <c r="E80" s="1">
        <v>26</v>
      </c>
      <c r="F80" s="1">
        <v>8</v>
      </c>
      <c r="G80" s="1">
        <v>0</v>
      </c>
      <c r="H80" s="1">
        <v>1</v>
      </c>
      <c r="I80" s="1">
        <v>2019</v>
      </c>
      <c r="J80" s="1">
        <v>4</v>
      </c>
      <c r="K80" s="1" t="s">
        <v>0</v>
      </c>
      <c r="L80" s="1">
        <v>2</v>
      </c>
      <c r="M80" s="1">
        <v>30</v>
      </c>
      <c r="N80" s="1">
        <v>0</v>
      </c>
      <c r="O80" s="1">
        <v>44145.625092592592</v>
      </c>
      <c r="P80" s="1">
        <v>6975013.8499999996</v>
      </c>
      <c r="Q80" s="1">
        <v>4907855.0199999996</v>
      </c>
      <c r="R80" s="1">
        <v>4129032.08</v>
      </c>
      <c r="S80" s="1">
        <v>3348420.94</v>
      </c>
      <c r="T80" s="1">
        <v>2845981.77</v>
      </c>
      <c r="U80" s="1">
        <v>1559434.08</v>
      </c>
      <c r="V80" s="1">
        <v>563.92999999999995</v>
      </c>
      <c r="W80" s="1">
        <v>563.92999999999995</v>
      </c>
      <c r="X80" s="1">
        <v>230.27</v>
      </c>
      <c r="Y80" s="1">
        <v>286.67</v>
      </c>
      <c r="Z80" s="1">
        <v>333.66</v>
      </c>
      <c r="AA80" s="1">
        <v>277.26</v>
      </c>
      <c r="AB80" s="1">
        <v>869717.27</v>
      </c>
      <c r="AC80" s="1">
        <v>2293495.2000000002</v>
      </c>
      <c r="AD80" s="1">
        <v>1225.26</v>
      </c>
      <c r="AE80" s="1">
        <v>1225.26</v>
      </c>
      <c r="AF80" s="1">
        <v>29482</v>
      </c>
      <c r="AG80" s="1">
        <v>29482</v>
      </c>
      <c r="AH80" s="1"/>
      <c r="AI80" s="1"/>
      <c r="AJ80" s="1"/>
      <c r="AK80" s="1"/>
      <c r="AL80" s="1">
        <v>839010.01</v>
      </c>
      <c r="AM80" s="1">
        <v>2262787.94</v>
      </c>
      <c r="AN80" s="1"/>
      <c r="AO80" s="1"/>
      <c r="AP80" s="1">
        <v>299851.76</v>
      </c>
      <c r="AQ80" s="1"/>
      <c r="AR80" s="1"/>
      <c r="AS80" s="1"/>
      <c r="AT80" s="1"/>
      <c r="AU80" s="1"/>
      <c r="AV80" s="2">
        <v>4015884.46</v>
      </c>
      <c r="AW80" s="1">
        <v>3853206.54</v>
      </c>
      <c r="AX80" s="1">
        <v>2612862.36</v>
      </c>
      <c r="AY80" s="1">
        <v>1276329.81</v>
      </c>
      <c r="AZ80" s="1">
        <v>717222.23</v>
      </c>
      <c r="BA80" s="1">
        <v>609738.38</v>
      </c>
      <c r="BB80" s="1">
        <v>1057348.48</v>
      </c>
      <c r="BC80" s="1">
        <v>591389.04</v>
      </c>
      <c r="BD80" s="1">
        <v>838291.65</v>
      </c>
      <c r="BE80" s="1">
        <v>75202.39</v>
      </c>
      <c r="BF80" s="1"/>
      <c r="BG80" s="1"/>
      <c r="BH80" s="1"/>
      <c r="BI80" s="1"/>
      <c r="BJ80" s="1"/>
      <c r="BK80" s="1"/>
      <c r="BL80" s="1">
        <v>556196.55000000005</v>
      </c>
      <c r="BM80" s="1">
        <v>443063.72</v>
      </c>
      <c r="BN80" s="1"/>
      <c r="BO80" s="1"/>
      <c r="BP80" s="1">
        <v>174031.51</v>
      </c>
      <c r="BQ80" s="1">
        <v>252.53</v>
      </c>
      <c r="BR80" s="1"/>
      <c r="BS80" s="1"/>
      <c r="BT80" s="1"/>
      <c r="BU80" s="1"/>
      <c r="BV80" s="1">
        <v>6837.33</v>
      </c>
      <c r="BW80" s="1">
        <v>1218.3</v>
      </c>
      <c r="BX80" s="1">
        <v>170694.59</v>
      </c>
      <c r="BY80" s="1">
        <v>44473.66</v>
      </c>
      <c r="BZ80" s="1"/>
      <c r="CA80" s="1"/>
      <c r="CB80" s="1">
        <v>13357.51</v>
      </c>
      <c r="CC80" s="1">
        <v>30153.17</v>
      </c>
      <c r="CD80" s="1"/>
      <c r="CE80" s="1"/>
      <c r="CF80" s="1">
        <v>17852.05</v>
      </c>
      <c r="CG80" s="1">
        <v>33905.379999999997</v>
      </c>
      <c r="CH80" s="1">
        <v>173423.56</v>
      </c>
      <c r="CI80" s="1">
        <v>333060.68</v>
      </c>
      <c r="CJ80" s="1">
        <v>5109.08</v>
      </c>
      <c r="CK80" s="1">
        <v>92203.55</v>
      </c>
      <c r="CL80" s="1"/>
      <c r="CM80" s="1"/>
      <c r="CN80" s="1">
        <v>4432.4399999999996</v>
      </c>
      <c r="CO80" s="1">
        <v>91417.02</v>
      </c>
      <c r="CP80" s="1">
        <v>676.64</v>
      </c>
      <c r="CQ80" s="1">
        <v>786.53</v>
      </c>
      <c r="CR80" s="1"/>
      <c r="CS80" s="1"/>
      <c r="CT80" s="1"/>
      <c r="CU80" s="1"/>
      <c r="CV80" s="1"/>
      <c r="CW80" s="1"/>
      <c r="CX80" s="2">
        <v>3174167.99</v>
      </c>
      <c r="CY80" s="1">
        <v>1811597.08</v>
      </c>
      <c r="CZ80" s="1">
        <v>7190052.4500000002</v>
      </c>
      <c r="DA80" s="1">
        <v>5664803.6200000001</v>
      </c>
      <c r="DB80" s="1">
        <v>600372.72</v>
      </c>
      <c r="DC80" s="1">
        <v>600372.72</v>
      </c>
      <c r="DD80" s="1">
        <v>233683.01</v>
      </c>
      <c r="DE80" s="1">
        <v>233683.01</v>
      </c>
      <c r="DF80" s="1">
        <v>4354046.6100000003</v>
      </c>
      <c r="DG80" s="1">
        <v>2478202.11</v>
      </c>
      <c r="DH80" s="1"/>
      <c r="DI80" s="1"/>
      <c r="DJ80" s="1">
        <v>-1312450.6599999999</v>
      </c>
      <c r="DK80" s="1">
        <v>1233787.26</v>
      </c>
      <c r="DL80" s="24"/>
      <c r="DM80" s="24"/>
      <c r="DN80" s="1"/>
      <c r="DO80" s="1"/>
      <c r="DP80" s="2">
        <v>3875651.68</v>
      </c>
      <c r="DQ80" s="1">
        <v>4546045.0999999996</v>
      </c>
      <c r="DR80" s="2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2">
        <v>3314700.77</v>
      </c>
      <c r="EQ80" s="1">
        <v>1118758.52</v>
      </c>
      <c r="ER80" s="1">
        <v>2609700.77</v>
      </c>
      <c r="ES80" s="1">
        <v>1118758.52</v>
      </c>
      <c r="ET80" s="1"/>
      <c r="EU80" s="1"/>
      <c r="EV80" s="1">
        <v>90970.69</v>
      </c>
      <c r="EW80" s="1">
        <v>58700</v>
      </c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>
        <v>1115600</v>
      </c>
      <c r="FI80" s="1">
        <v>122277.32</v>
      </c>
      <c r="FJ80" s="1">
        <v>201512.21</v>
      </c>
      <c r="FK80" s="1">
        <v>556981.88</v>
      </c>
      <c r="FL80" s="1"/>
      <c r="FM80" s="1"/>
      <c r="FN80" s="1">
        <v>60594.91</v>
      </c>
      <c r="FO80" s="1">
        <v>53882.22</v>
      </c>
      <c r="FP80" s="1"/>
      <c r="FQ80" s="1"/>
      <c r="FR80" s="1">
        <v>763601.19</v>
      </c>
      <c r="FS80" s="1">
        <v>134698.21</v>
      </c>
      <c r="FT80" s="1"/>
      <c r="FU80" s="1"/>
      <c r="FV80" s="1">
        <v>705000</v>
      </c>
      <c r="FW80" s="1"/>
      <c r="FX80" s="1"/>
      <c r="FY80" s="1"/>
      <c r="FZ80" s="1">
        <v>377421.77</v>
      </c>
      <c r="GA80" s="1">
        <v>192218.89</v>
      </c>
      <c r="GB80" s="1">
        <v>3314700.77</v>
      </c>
      <c r="GC80" s="1">
        <v>1118758.52</v>
      </c>
      <c r="GD80" s="1">
        <v>7190352.4500000002</v>
      </c>
      <c r="GE80" s="1">
        <v>5664803.6200000001</v>
      </c>
    </row>
    <row r="81" spans="1:187" s="3" customFormat="1" x14ac:dyDescent="0.25">
      <c r="A81" s="1">
        <v>20006</v>
      </c>
      <c r="B81" s="1">
        <v>0</v>
      </c>
      <c r="C81" s="3">
        <v>200547509</v>
      </c>
      <c r="D81" s="3" t="s">
        <v>136</v>
      </c>
      <c r="E81" s="4">
        <v>26</v>
      </c>
      <c r="F81" s="4">
        <v>8</v>
      </c>
      <c r="G81" s="4">
        <v>0</v>
      </c>
      <c r="H81" s="4">
        <v>1</v>
      </c>
      <c r="I81" s="1">
        <v>2018</v>
      </c>
      <c r="J81" s="1">
        <v>4</v>
      </c>
      <c r="K81" s="3" t="s">
        <v>0</v>
      </c>
      <c r="L81" s="1">
        <v>1</v>
      </c>
      <c r="M81" s="1">
        <v>30</v>
      </c>
      <c r="N81" s="5">
        <v>0</v>
      </c>
      <c r="O81" s="6">
        <v>43509.779490740744</v>
      </c>
      <c r="P81" s="1">
        <v>6977452.8600000003</v>
      </c>
      <c r="Q81" s="1">
        <v>6975013.8499999996</v>
      </c>
      <c r="R81" s="1">
        <v>3407369.94</v>
      </c>
      <c r="S81" s="1">
        <v>4129032.08</v>
      </c>
      <c r="T81" s="1">
        <v>3570082.92</v>
      </c>
      <c r="U81" s="1">
        <v>2845981.77</v>
      </c>
      <c r="V81" s="1">
        <v>563.92999999999995</v>
      </c>
      <c r="W81" s="1">
        <v>563.92999999999995</v>
      </c>
      <c r="X81" s="1">
        <v>173.88</v>
      </c>
      <c r="Y81" s="1">
        <v>230.27</v>
      </c>
      <c r="Z81" s="1">
        <v>390.05</v>
      </c>
      <c r="AA81" s="1">
        <v>333.66</v>
      </c>
      <c r="AB81" s="1">
        <v>869717.27</v>
      </c>
      <c r="AC81" s="1">
        <v>869717.27</v>
      </c>
      <c r="AD81" s="1">
        <v>1225.26</v>
      </c>
      <c r="AE81" s="1">
        <v>1225.26</v>
      </c>
      <c r="AF81" s="1">
        <v>29482</v>
      </c>
      <c r="AG81" s="1">
        <v>29482</v>
      </c>
      <c r="AH81" s="1"/>
      <c r="AI81" s="1"/>
      <c r="AJ81" s="1"/>
      <c r="AK81" s="1"/>
      <c r="AL81" s="1">
        <v>839010.01</v>
      </c>
      <c r="AM81" s="1">
        <v>839010.01</v>
      </c>
      <c r="AN81" s="1"/>
      <c r="AO81" s="1"/>
      <c r="AP81" s="1"/>
      <c r="AQ81" s="1">
        <v>299851.76</v>
      </c>
      <c r="AR81" s="1"/>
      <c r="AS81" s="1"/>
      <c r="AT81" s="1"/>
      <c r="AU81" s="1"/>
      <c r="AV81" s="2">
        <v>4440190.24</v>
      </c>
      <c r="AW81" s="1">
        <v>4015884.46</v>
      </c>
      <c r="AX81" s="1">
        <v>2736088.64</v>
      </c>
      <c r="AY81" s="1">
        <v>2614391.75</v>
      </c>
      <c r="AZ81" s="1">
        <v>794340.87</v>
      </c>
      <c r="BA81" s="1">
        <v>717828.08</v>
      </c>
      <c r="BB81" s="1">
        <v>1265432.23</v>
      </c>
      <c r="BC81" s="1">
        <v>1058272.02</v>
      </c>
      <c r="BD81" s="1">
        <v>676315.54</v>
      </c>
      <c r="BE81" s="1">
        <v>838291.65</v>
      </c>
      <c r="BF81" s="1"/>
      <c r="BG81" s="1"/>
      <c r="BH81" s="1">
        <v>2069.4899999999998</v>
      </c>
      <c r="BI81" s="1"/>
      <c r="BJ81" s="1"/>
      <c r="BK81" s="1"/>
      <c r="BL81" s="1">
        <v>298427.65000000002</v>
      </c>
      <c r="BM81" s="1">
        <v>597778.25</v>
      </c>
      <c r="BN81" s="1"/>
      <c r="BO81" s="1"/>
      <c r="BP81" s="1">
        <v>121172.79</v>
      </c>
      <c r="BQ81" s="1">
        <v>174031.51</v>
      </c>
      <c r="BR81" s="1"/>
      <c r="BS81" s="1"/>
      <c r="BT81" s="1"/>
      <c r="BU81" s="1"/>
      <c r="BV81" s="1">
        <v>6449.87</v>
      </c>
      <c r="BW81" s="1">
        <v>7101.86</v>
      </c>
      <c r="BX81" s="1">
        <v>64031.33</v>
      </c>
      <c r="BY81" s="1">
        <v>201759.48</v>
      </c>
      <c r="BZ81" s="1">
        <v>9927.1</v>
      </c>
      <c r="CA81" s="1"/>
      <c r="CB81" s="1">
        <v>9927.1</v>
      </c>
      <c r="CC81" s="1">
        <v>13357.51</v>
      </c>
      <c r="CD81" s="1"/>
      <c r="CE81" s="1"/>
      <c r="CF81" s="1">
        <v>2463.3200000000002</v>
      </c>
      <c r="CG81" s="1">
        <v>18607.52</v>
      </c>
      <c r="CH81" s="1">
        <v>84456.14</v>
      </c>
      <c r="CI81" s="1">
        <v>182920.37</v>
      </c>
      <c r="CJ81" s="1">
        <v>67567.17</v>
      </c>
      <c r="CK81" s="1">
        <v>5121.7</v>
      </c>
      <c r="CL81" s="1">
        <v>21.09</v>
      </c>
      <c r="CM81" s="1"/>
      <c r="CN81" s="1">
        <v>62002.91</v>
      </c>
      <c r="CO81" s="1">
        <v>4432.4399999999996</v>
      </c>
      <c r="CP81" s="1"/>
      <c r="CQ81" s="1"/>
      <c r="CR81" s="1">
        <v>5543.17</v>
      </c>
      <c r="CS81" s="1">
        <v>689.26</v>
      </c>
      <c r="CT81" s="1"/>
      <c r="CU81" s="1"/>
      <c r="CV81" s="1"/>
      <c r="CW81" s="1"/>
      <c r="CX81" s="2">
        <v>3104152.95</v>
      </c>
      <c r="CY81" s="1">
        <v>3217291.7</v>
      </c>
      <c r="CZ81" s="1">
        <v>7544343.1900000004</v>
      </c>
      <c r="DA81" s="1">
        <v>7233176.1600000001</v>
      </c>
      <c r="DB81" s="1">
        <v>600372.72</v>
      </c>
      <c r="DC81" s="1">
        <v>600372.72</v>
      </c>
      <c r="DD81" s="1">
        <v>233683.01</v>
      </c>
      <c r="DE81" s="1">
        <v>233683.01</v>
      </c>
      <c r="DF81" s="1"/>
      <c r="DG81" s="1"/>
      <c r="DH81" s="1"/>
      <c r="DI81" s="1"/>
      <c r="DJ81" s="1">
        <v>4354285.07</v>
      </c>
      <c r="DK81" s="1">
        <v>4354046.6100000003</v>
      </c>
      <c r="DL81" s="24">
        <v>-878752.77</v>
      </c>
      <c r="DM81" s="24">
        <v>-1320456.8899999999</v>
      </c>
      <c r="DN81" s="1"/>
      <c r="DO81" s="1"/>
      <c r="DP81" s="2">
        <v>4309588.03</v>
      </c>
      <c r="DQ81" s="1">
        <v>3867645.45</v>
      </c>
      <c r="DR81" s="2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2">
        <v>3234755.15</v>
      </c>
      <c r="EQ81" s="1">
        <v>3365530.71</v>
      </c>
      <c r="ER81" s="1">
        <v>2669755.15</v>
      </c>
      <c r="ES81" s="1">
        <v>2627859.96</v>
      </c>
      <c r="ET81" s="1"/>
      <c r="EU81" s="1"/>
      <c r="EV81" s="1">
        <v>736294.05</v>
      </c>
      <c r="EW81" s="1">
        <v>99837.29</v>
      </c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>
        <v>1445850.52</v>
      </c>
      <c r="FI81" s="1">
        <v>1115300</v>
      </c>
      <c r="FJ81" s="1">
        <v>166649.29999999999</v>
      </c>
      <c r="FK81" s="1">
        <v>201525.13</v>
      </c>
      <c r="FL81" s="1"/>
      <c r="FM81" s="1"/>
      <c r="FN81" s="1">
        <v>29274.13</v>
      </c>
      <c r="FO81" s="1">
        <v>61101.15</v>
      </c>
      <c r="FP81" s="1">
        <v>0.54</v>
      </c>
      <c r="FQ81" s="1"/>
      <c r="FR81" s="1">
        <v>240797.13</v>
      </c>
      <c r="FS81" s="1">
        <v>763398.43</v>
      </c>
      <c r="FT81" s="1"/>
      <c r="FU81" s="1"/>
      <c r="FV81" s="1">
        <v>565000</v>
      </c>
      <c r="FW81" s="1">
        <v>737670.75</v>
      </c>
      <c r="FX81" s="1"/>
      <c r="FY81" s="1"/>
      <c r="FZ81" s="1">
        <v>50889.48</v>
      </c>
      <c r="GA81" s="1">
        <v>386697.96</v>
      </c>
      <c r="GB81" s="1">
        <v>3234755.15</v>
      </c>
      <c r="GC81" s="1">
        <v>3365530.71</v>
      </c>
      <c r="GD81" s="1">
        <v>7544343.1799999997</v>
      </c>
      <c r="GE81" s="1">
        <v>7233176.1600000001</v>
      </c>
    </row>
    <row r="82" spans="1:187" s="3" customFormat="1" ht="12" x14ac:dyDescent="0.2">
      <c r="A82" s="1">
        <v>20006</v>
      </c>
      <c r="B82" s="1">
        <v>0</v>
      </c>
      <c r="C82" s="1">
        <v>200547548</v>
      </c>
      <c r="D82" s="1" t="s">
        <v>137</v>
      </c>
      <c r="E82" s="1">
        <v>26</v>
      </c>
      <c r="F82" s="1">
        <v>8</v>
      </c>
      <c r="G82" s="1">
        <v>2</v>
      </c>
      <c r="H82" s="1">
        <v>8</v>
      </c>
      <c r="I82" s="1">
        <v>2021</v>
      </c>
      <c r="J82" s="1">
        <v>4</v>
      </c>
      <c r="K82" s="1" t="s">
        <v>0</v>
      </c>
      <c r="L82" s="1">
        <v>2</v>
      </c>
      <c r="M82" s="1">
        <v>30</v>
      </c>
      <c r="N82" s="1">
        <v>0</v>
      </c>
      <c r="O82" s="1">
        <v>44810.701701388891</v>
      </c>
      <c r="P82" s="1">
        <v>76939676</v>
      </c>
      <c r="Q82" s="1">
        <v>73962550</v>
      </c>
      <c r="R82" s="1">
        <v>49748046</v>
      </c>
      <c r="S82" s="1">
        <v>49767908</v>
      </c>
      <c r="T82" s="1">
        <v>27191630</v>
      </c>
      <c r="U82" s="1">
        <v>24194642</v>
      </c>
      <c r="V82" s="1"/>
      <c r="W82" s="1"/>
      <c r="X82" s="1"/>
      <c r="Y82" s="1"/>
      <c r="Z82" s="1"/>
      <c r="AA82" s="1"/>
      <c r="AB82" s="1">
        <v>421666</v>
      </c>
      <c r="AC82" s="1">
        <v>421666</v>
      </c>
      <c r="AD82" s="1">
        <v>421666</v>
      </c>
      <c r="AE82" s="1">
        <v>421666</v>
      </c>
      <c r="AF82" s="1"/>
      <c r="AG82" s="1"/>
      <c r="AH82" s="1"/>
      <c r="AI82" s="1"/>
      <c r="AJ82" s="1"/>
      <c r="AK82" s="1"/>
      <c r="AL82" s="1"/>
      <c r="AM82" s="1"/>
      <c r="AN82" s="1">
        <v>667059</v>
      </c>
      <c r="AO82" s="1">
        <v>667059</v>
      </c>
      <c r="AP82" s="1"/>
      <c r="AQ82" s="1"/>
      <c r="AR82" s="1"/>
      <c r="AS82" s="1"/>
      <c r="AT82" s="1"/>
      <c r="AU82" s="1"/>
      <c r="AV82" s="2">
        <v>28280355</v>
      </c>
      <c r="AW82" s="1">
        <v>25283367</v>
      </c>
      <c r="AX82" s="1">
        <v>10411023</v>
      </c>
      <c r="AY82" s="1">
        <v>10941521</v>
      </c>
      <c r="AZ82" s="1">
        <v>5378759</v>
      </c>
      <c r="BA82" s="1">
        <v>5383776</v>
      </c>
      <c r="BB82" s="1">
        <v>4079948</v>
      </c>
      <c r="BC82" s="1">
        <v>5455115</v>
      </c>
      <c r="BD82" s="1">
        <v>952316</v>
      </c>
      <c r="BE82" s="1">
        <v>102630</v>
      </c>
      <c r="BF82" s="1"/>
      <c r="BG82" s="1"/>
      <c r="BH82" s="1">
        <v>220743</v>
      </c>
      <c r="BI82" s="1">
        <v>217409</v>
      </c>
      <c r="BJ82" s="1"/>
      <c r="BK82" s="1"/>
      <c r="BL82" s="1">
        <v>11138612</v>
      </c>
      <c r="BM82" s="1">
        <v>9433635</v>
      </c>
      <c r="BN82" s="1">
        <v>584280</v>
      </c>
      <c r="BO82" s="1">
        <v>584280</v>
      </c>
      <c r="BP82" s="1">
        <v>2855108</v>
      </c>
      <c r="BQ82" s="1">
        <v>2931892</v>
      </c>
      <c r="BR82" s="1"/>
      <c r="BS82" s="1"/>
      <c r="BT82" s="1"/>
      <c r="BU82" s="1"/>
      <c r="BV82" s="1"/>
      <c r="BW82" s="1"/>
      <c r="BX82" s="1">
        <v>1669487</v>
      </c>
      <c r="BY82" s="1">
        <v>1519757</v>
      </c>
      <c r="BZ82" s="1">
        <v>1579148</v>
      </c>
      <c r="CA82" s="1">
        <v>52215</v>
      </c>
      <c r="CB82" s="1">
        <v>16433</v>
      </c>
      <c r="CC82" s="1">
        <v>2598</v>
      </c>
      <c r="CD82" s="1"/>
      <c r="CE82" s="1"/>
      <c r="CF82" s="1">
        <v>86148</v>
      </c>
      <c r="CG82" s="1">
        <v>97009</v>
      </c>
      <c r="CH82" s="1">
        <v>4932288</v>
      </c>
      <c r="CI82" s="1">
        <v>4830164</v>
      </c>
      <c r="CJ82" s="1"/>
      <c r="CK82" s="1">
        <v>95167</v>
      </c>
      <c r="CL82" s="1"/>
      <c r="CM82" s="1"/>
      <c r="CN82" s="1"/>
      <c r="CO82" s="1">
        <v>94931</v>
      </c>
      <c r="CP82" s="1"/>
      <c r="CQ82" s="1"/>
      <c r="CR82" s="1"/>
      <c r="CS82" s="1">
        <v>236</v>
      </c>
      <c r="CT82" s="1">
        <v>800000</v>
      </c>
      <c r="CU82" s="1">
        <v>800000</v>
      </c>
      <c r="CV82" s="1">
        <v>52985</v>
      </c>
      <c r="CW82" s="1">
        <v>54540</v>
      </c>
      <c r="CX82" s="2">
        <v>22623363</v>
      </c>
      <c r="CY82" s="1">
        <v>21542272</v>
      </c>
      <c r="CZ82" s="1">
        <v>50903718</v>
      </c>
      <c r="DA82" s="1">
        <v>46825639</v>
      </c>
      <c r="DB82" s="1">
        <v>13874967</v>
      </c>
      <c r="DC82" s="1">
        <v>13874967</v>
      </c>
      <c r="DD82" s="1">
        <v>6495071</v>
      </c>
      <c r="DE82" s="1">
        <v>6495071</v>
      </c>
      <c r="DF82" s="1">
        <v>18370343</v>
      </c>
      <c r="DG82" s="1">
        <v>18357331</v>
      </c>
      <c r="DH82" s="1"/>
      <c r="DI82" s="1"/>
      <c r="DJ82" s="1">
        <v>-18416532</v>
      </c>
      <c r="DK82" s="1">
        <v>-12884140</v>
      </c>
      <c r="DL82" s="24"/>
      <c r="DM82" s="24"/>
      <c r="DN82" s="1"/>
      <c r="DO82" s="1"/>
      <c r="DP82" s="2">
        <v>20323849</v>
      </c>
      <c r="DQ82" s="1">
        <v>25843229</v>
      </c>
      <c r="DR82" s="2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2">
        <v>30579869</v>
      </c>
      <c r="EQ82" s="1">
        <v>20982410</v>
      </c>
      <c r="ER82" s="1">
        <v>8430186</v>
      </c>
      <c r="ES82" s="1">
        <v>14367318</v>
      </c>
      <c r="ET82" s="1">
        <v>8430186</v>
      </c>
      <c r="EU82" s="1"/>
      <c r="EV82" s="1">
        <v>2012203</v>
      </c>
      <c r="EW82" s="1">
        <v>2044694</v>
      </c>
      <c r="EX82" s="1"/>
      <c r="EY82" s="1"/>
      <c r="EZ82" s="1">
        <v>138308</v>
      </c>
      <c r="FA82" s="1">
        <v>140670</v>
      </c>
      <c r="FB82" s="1"/>
      <c r="FC82" s="1"/>
      <c r="FD82" s="1"/>
      <c r="FE82" s="1"/>
      <c r="FF82" s="1"/>
      <c r="FG82" s="1"/>
      <c r="FH82" s="1">
        <v>78645</v>
      </c>
      <c r="FI82" s="1">
        <v>114194</v>
      </c>
      <c r="FJ82" s="1">
        <v>178411</v>
      </c>
      <c r="FK82" s="1">
        <v>4225536</v>
      </c>
      <c r="FL82" s="1">
        <v>302939</v>
      </c>
      <c r="FM82" s="1">
        <v>397765</v>
      </c>
      <c r="FN82" s="1"/>
      <c r="FO82" s="1"/>
      <c r="FP82" s="1">
        <v>282927</v>
      </c>
      <c r="FQ82" s="1">
        <v>282927</v>
      </c>
      <c r="FR82" s="1">
        <v>939355</v>
      </c>
      <c r="FS82" s="1">
        <v>4831925</v>
      </c>
      <c r="FT82" s="1">
        <v>15534591</v>
      </c>
      <c r="FU82" s="1"/>
      <c r="FV82" s="1">
        <v>6615092</v>
      </c>
      <c r="FW82" s="1">
        <v>6615092</v>
      </c>
      <c r="FX82" s="1"/>
      <c r="FY82" s="1"/>
      <c r="FZ82" s="1">
        <v>4497398</v>
      </c>
      <c r="GA82" s="1">
        <v>2329607</v>
      </c>
      <c r="GB82" s="1">
        <v>30579869</v>
      </c>
      <c r="GC82" s="1">
        <v>20982410</v>
      </c>
      <c r="GD82" s="1">
        <v>50903718</v>
      </c>
      <c r="GE82" s="1">
        <v>46825639</v>
      </c>
    </row>
    <row r="83" spans="1:187" s="3" customFormat="1" ht="12" x14ac:dyDescent="0.2">
      <c r="A83" s="1">
        <v>20006</v>
      </c>
      <c r="B83" s="1">
        <v>0</v>
      </c>
      <c r="C83" s="1">
        <v>200547548</v>
      </c>
      <c r="D83" s="1" t="s">
        <v>137</v>
      </c>
      <c r="E83" s="1">
        <v>26</v>
      </c>
      <c r="F83" s="1">
        <v>8</v>
      </c>
      <c r="G83" s="1">
        <v>2</v>
      </c>
      <c r="H83" s="1">
        <v>8</v>
      </c>
      <c r="I83" s="1">
        <v>2020</v>
      </c>
      <c r="J83" s="1">
        <v>4</v>
      </c>
      <c r="K83" s="1" t="s">
        <v>0</v>
      </c>
      <c r="L83" s="1">
        <v>1</v>
      </c>
      <c r="M83" s="1">
        <v>30</v>
      </c>
      <c r="N83" s="1">
        <v>0</v>
      </c>
      <c r="O83" s="1">
        <v>44238.700370370374</v>
      </c>
      <c r="P83" s="1">
        <v>70895093</v>
      </c>
      <c r="Q83" s="1">
        <v>76939676</v>
      </c>
      <c r="R83" s="1">
        <v>43903029</v>
      </c>
      <c r="S83" s="1">
        <v>49748046</v>
      </c>
      <c r="T83" s="1">
        <v>26992064</v>
      </c>
      <c r="U83" s="1">
        <v>27191630</v>
      </c>
      <c r="V83" s="1"/>
      <c r="W83" s="1"/>
      <c r="X83" s="1"/>
      <c r="Y83" s="1"/>
      <c r="Z83" s="1"/>
      <c r="AA83" s="1"/>
      <c r="AB83" s="1">
        <v>2653081</v>
      </c>
      <c r="AC83" s="1">
        <v>421666</v>
      </c>
      <c r="AD83" s="1"/>
      <c r="AE83" s="1"/>
      <c r="AF83" s="1"/>
      <c r="AG83" s="1"/>
      <c r="AH83" s="1"/>
      <c r="AI83" s="1"/>
      <c r="AJ83" s="1"/>
      <c r="AK83" s="1"/>
      <c r="AL83" s="1">
        <v>2653081</v>
      </c>
      <c r="AM83" s="1">
        <v>421666</v>
      </c>
      <c r="AN83" s="1">
        <v>638558</v>
      </c>
      <c r="AO83" s="1">
        <v>667059</v>
      </c>
      <c r="AP83" s="1"/>
      <c r="AQ83" s="1"/>
      <c r="AR83" s="1"/>
      <c r="AS83" s="1"/>
      <c r="AT83" s="1"/>
      <c r="AU83" s="1"/>
      <c r="AV83" s="2">
        <v>30283703</v>
      </c>
      <c r="AW83" s="1">
        <v>28280355</v>
      </c>
      <c r="AX83" s="1">
        <v>38965211</v>
      </c>
      <c r="AY83" s="1">
        <v>10411023</v>
      </c>
      <c r="AZ83" s="1">
        <v>13202487</v>
      </c>
      <c r="BA83" s="1">
        <v>5378759</v>
      </c>
      <c r="BB83" s="1">
        <v>1233118</v>
      </c>
      <c r="BC83" s="1">
        <v>4079948</v>
      </c>
      <c r="BD83" s="1">
        <v>24529606</v>
      </c>
      <c r="BE83" s="1">
        <v>952316</v>
      </c>
      <c r="BF83" s="1"/>
      <c r="BG83" s="1"/>
      <c r="BH83" s="1">
        <v>229493</v>
      </c>
      <c r="BI83" s="1">
        <v>220743</v>
      </c>
      <c r="BJ83" s="1"/>
      <c r="BK83" s="1"/>
      <c r="BL83" s="1">
        <v>18131449</v>
      </c>
      <c r="BM83" s="1">
        <v>11138612</v>
      </c>
      <c r="BN83" s="1">
        <v>584280</v>
      </c>
      <c r="BO83" s="1">
        <v>584280</v>
      </c>
      <c r="BP83" s="1">
        <v>3374892</v>
      </c>
      <c r="BQ83" s="1">
        <v>2855108</v>
      </c>
      <c r="BR83" s="1"/>
      <c r="BS83" s="1"/>
      <c r="BT83" s="1"/>
      <c r="BU83" s="1"/>
      <c r="BV83" s="1"/>
      <c r="BW83" s="1"/>
      <c r="BX83" s="1">
        <v>3293396</v>
      </c>
      <c r="BY83" s="1">
        <v>1669487</v>
      </c>
      <c r="BZ83" s="1">
        <v>4499306</v>
      </c>
      <c r="CA83" s="1">
        <v>1579148</v>
      </c>
      <c r="CB83" s="1">
        <v>42474</v>
      </c>
      <c r="CC83" s="1">
        <v>16433</v>
      </c>
      <c r="CD83" s="1">
        <v>0</v>
      </c>
      <c r="CE83" s="1">
        <v>0</v>
      </c>
      <c r="CF83" s="1">
        <v>115996</v>
      </c>
      <c r="CG83" s="1">
        <v>86148</v>
      </c>
      <c r="CH83" s="1">
        <v>6805385</v>
      </c>
      <c r="CI83" s="1">
        <v>4932288</v>
      </c>
      <c r="CJ83" s="1">
        <v>25277</v>
      </c>
      <c r="CK83" s="1"/>
      <c r="CL83" s="1"/>
      <c r="CM83" s="1"/>
      <c r="CN83" s="1">
        <v>25277</v>
      </c>
      <c r="CO83" s="1"/>
      <c r="CP83" s="1"/>
      <c r="CQ83" s="1"/>
      <c r="CR83" s="1"/>
      <c r="CS83" s="1"/>
      <c r="CT83" s="1">
        <v>1686420</v>
      </c>
      <c r="CU83" s="1">
        <v>800000</v>
      </c>
      <c r="CV83" s="1">
        <v>52985</v>
      </c>
      <c r="CW83" s="1">
        <v>52985</v>
      </c>
      <c r="CX83" s="2">
        <v>59090835</v>
      </c>
      <c r="CY83" s="1">
        <v>22623363</v>
      </c>
      <c r="CZ83" s="1">
        <v>89374538</v>
      </c>
      <c r="DA83" s="1">
        <v>50903718</v>
      </c>
      <c r="DB83" s="1">
        <v>13874967</v>
      </c>
      <c r="DC83" s="1">
        <v>13874967</v>
      </c>
      <c r="DD83" s="1">
        <v>6495071</v>
      </c>
      <c r="DE83" s="1">
        <v>6495071</v>
      </c>
      <c r="DF83" s="1">
        <v>16031898</v>
      </c>
      <c r="DG83" s="1">
        <v>18370343</v>
      </c>
      <c r="DH83" s="1"/>
      <c r="DI83" s="1"/>
      <c r="DJ83" s="1">
        <v>1681264</v>
      </c>
      <c r="DK83" s="1">
        <v>-18416532</v>
      </c>
      <c r="DL83" s="24"/>
      <c r="DM83" s="24"/>
      <c r="DN83" s="1"/>
      <c r="DO83" s="1"/>
      <c r="DP83" s="2">
        <v>38083200</v>
      </c>
      <c r="DQ83" s="1">
        <v>20323849</v>
      </c>
      <c r="DR83" s="2">
        <v>58235</v>
      </c>
      <c r="DS83" s="1"/>
      <c r="DT83" s="1">
        <v>58235</v>
      </c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>
        <v>58235</v>
      </c>
      <c r="EO83" s="1"/>
      <c r="EP83" s="2">
        <v>51233103</v>
      </c>
      <c r="EQ83" s="1">
        <v>30579869</v>
      </c>
      <c r="ER83" s="1">
        <v>14332385</v>
      </c>
      <c r="ES83" s="1">
        <v>8430186</v>
      </c>
      <c r="ET83" s="1"/>
      <c r="EU83" s="1"/>
      <c r="EV83" s="1">
        <v>10116012</v>
      </c>
      <c r="EW83" s="1">
        <v>2012203</v>
      </c>
      <c r="EX83" s="1"/>
      <c r="EY83" s="1"/>
      <c r="EZ83" s="1">
        <v>55369</v>
      </c>
      <c r="FA83" s="1">
        <v>138308</v>
      </c>
      <c r="FB83" s="1"/>
      <c r="FC83" s="1"/>
      <c r="FD83" s="1"/>
      <c r="FE83" s="1"/>
      <c r="FF83" s="1"/>
      <c r="FG83" s="1"/>
      <c r="FH83" s="1">
        <v>286199</v>
      </c>
      <c r="FI83" s="1">
        <v>78645</v>
      </c>
      <c r="FJ83" s="1">
        <v>130294</v>
      </c>
      <c r="FK83" s="1">
        <v>178411</v>
      </c>
      <c r="FL83" s="1">
        <v>510002</v>
      </c>
      <c r="FM83" s="1">
        <v>302939</v>
      </c>
      <c r="FN83" s="1"/>
      <c r="FO83" s="1">
        <v>0</v>
      </c>
      <c r="FP83" s="1">
        <v>1253648</v>
      </c>
      <c r="FQ83" s="1">
        <v>282927</v>
      </c>
      <c r="FR83" s="1">
        <v>1252049</v>
      </c>
      <c r="FS83" s="1">
        <v>939355</v>
      </c>
      <c r="FT83" s="1">
        <v>36900718</v>
      </c>
      <c r="FU83" s="1">
        <v>15534591</v>
      </c>
      <c r="FV83" s="1"/>
      <c r="FW83" s="1">
        <v>6615092</v>
      </c>
      <c r="FX83" s="1"/>
      <c r="FY83" s="1"/>
      <c r="FZ83" s="1">
        <v>728812</v>
      </c>
      <c r="GA83" s="1">
        <v>4497398</v>
      </c>
      <c r="GB83" s="1">
        <v>51291338</v>
      </c>
      <c r="GC83" s="1">
        <v>30579869</v>
      </c>
      <c r="GD83" s="1">
        <v>89374538</v>
      </c>
      <c r="GE83" s="1">
        <v>50903718</v>
      </c>
    </row>
    <row r="84" spans="1:187" s="3" customFormat="1" ht="12" x14ac:dyDescent="0.2">
      <c r="A84" s="1">
        <v>20006</v>
      </c>
      <c r="B84" s="1">
        <v>0</v>
      </c>
      <c r="C84" s="1">
        <v>200547548</v>
      </c>
      <c r="D84" s="1" t="s">
        <v>137</v>
      </c>
      <c r="E84" s="1">
        <v>26</v>
      </c>
      <c r="F84" s="1">
        <v>8</v>
      </c>
      <c r="G84" s="1">
        <v>2</v>
      </c>
      <c r="H84" s="1">
        <v>8</v>
      </c>
      <c r="I84" s="1">
        <v>2019</v>
      </c>
      <c r="J84" s="1">
        <v>4</v>
      </c>
      <c r="K84" s="1" t="s">
        <v>0</v>
      </c>
      <c r="L84" s="1">
        <v>2</v>
      </c>
      <c r="M84" s="1">
        <v>30</v>
      </c>
      <c r="N84" s="1">
        <v>0</v>
      </c>
      <c r="O84" s="1">
        <v>44084.611111111109</v>
      </c>
      <c r="P84" s="1">
        <v>64899876</v>
      </c>
      <c r="Q84" s="1">
        <v>70895093</v>
      </c>
      <c r="R84" s="1">
        <v>40337438</v>
      </c>
      <c r="S84" s="1">
        <v>43903029</v>
      </c>
      <c r="T84" s="1">
        <v>24562438</v>
      </c>
      <c r="U84" s="1">
        <v>26992064</v>
      </c>
      <c r="V84" s="1"/>
      <c r="W84" s="1"/>
      <c r="X84" s="1"/>
      <c r="Y84" s="1"/>
      <c r="Z84" s="1"/>
      <c r="AA84" s="1"/>
      <c r="AB84" s="1">
        <v>4796080</v>
      </c>
      <c r="AC84" s="1">
        <v>2653081</v>
      </c>
      <c r="AD84" s="1"/>
      <c r="AE84" s="1"/>
      <c r="AF84" s="1"/>
      <c r="AG84" s="1"/>
      <c r="AH84" s="1"/>
      <c r="AI84" s="1"/>
      <c r="AJ84" s="1"/>
      <c r="AK84" s="1"/>
      <c r="AL84" s="1">
        <v>4796080</v>
      </c>
      <c r="AM84" s="1">
        <v>2653081</v>
      </c>
      <c r="AN84" s="1">
        <v>299642</v>
      </c>
      <c r="AO84" s="1">
        <v>638558</v>
      </c>
      <c r="AP84" s="1"/>
      <c r="AQ84" s="1"/>
      <c r="AR84" s="1"/>
      <c r="AS84" s="1"/>
      <c r="AT84" s="1"/>
      <c r="AU84" s="1"/>
      <c r="AV84" s="2">
        <v>29658160</v>
      </c>
      <c r="AW84" s="1">
        <v>30283703</v>
      </c>
      <c r="AX84" s="1">
        <v>16056620</v>
      </c>
      <c r="AY84" s="1">
        <v>38965211</v>
      </c>
      <c r="AZ84" s="1">
        <v>8638156</v>
      </c>
      <c r="BA84" s="1">
        <v>13202487</v>
      </c>
      <c r="BB84" s="1"/>
      <c r="BC84" s="1">
        <v>1233118</v>
      </c>
      <c r="BD84" s="1">
        <v>7418464</v>
      </c>
      <c r="BE84" s="1">
        <v>24529606</v>
      </c>
      <c r="BF84" s="1"/>
      <c r="BG84" s="1"/>
      <c r="BH84" s="1">
        <v>275209</v>
      </c>
      <c r="BI84" s="1">
        <v>229493</v>
      </c>
      <c r="BJ84" s="1"/>
      <c r="BK84" s="1"/>
      <c r="BL84" s="1">
        <v>11428839</v>
      </c>
      <c r="BM84" s="1">
        <v>18131449</v>
      </c>
      <c r="BN84" s="1">
        <v>584280</v>
      </c>
      <c r="BO84" s="1">
        <v>584280</v>
      </c>
      <c r="BP84" s="1">
        <v>2470183</v>
      </c>
      <c r="BQ84" s="1">
        <v>3374892</v>
      </c>
      <c r="BR84" s="1"/>
      <c r="BS84" s="1"/>
      <c r="BT84" s="1"/>
      <c r="BU84" s="1"/>
      <c r="BV84" s="1"/>
      <c r="BW84" s="1"/>
      <c r="BX84" s="1">
        <v>2609481</v>
      </c>
      <c r="BY84" s="1">
        <v>3293396</v>
      </c>
      <c r="BZ84" s="1">
        <v>2231244</v>
      </c>
      <c r="CA84" s="1">
        <v>4499306</v>
      </c>
      <c r="CB84" s="1">
        <v>15670</v>
      </c>
      <c r="CC84" s="1">
        <v>42474</v>
      </c>
      <c r="CD84" s="1"/>
      <c r="CE84" s="1"/>
      <c r="CF84" s="1">
        <v>181148</v>
      </c>
      <c r="CG84" s="1">
        <v>115996</v>
      </c>
      <c r="CH84" s="1">
        <v>3921113</v>
      </c>
      <c r="CI84" s="1">
        <v>6805385</v>
      </c>
      <c r="CJ84" s="1">
        <v>9296358</v>
      </c>
      <c r="CK84" s="1">
        <v>25277</v>
      </c>
      <c r="CL84" s="1"/>
      <c r="CM84" s="1"/>
      <c r="CN84" s="1">
        <v>128431</v>
      </c>
      <c r="CO84" s="1">
        <v>25277</v>
      </c>
      <c r="CP84" s="1"/>
      <c r="CQ84" s="1">
        <v>0</v>
      </c>
      <c r="CR84" s="1">
        <v>9167927</v>
      </c>
      <c r="CS84" s="1"/>
      <c r="CT84" s="1">
        <v>800000</v>
      </c>
      <c r="CU84" s="1">
        <v>1686420</v>
      </c>
      <c r="CV84" s="1">
        <v>52985</v>
      </c>
      <c r="CW84" s="1">
        <v>52985</v>
      </c>
      <c r="CX84" s="2">
        <v>37910011</v>
      </c>
      <c r="CY84" s="1">
        <v>59090835</v>
      </c>
      <c r="CZ84" s="1">
        <v>67568171</v>
      </c>
      <c r="DA84" s="1">
        <v>89374538</v>
      </c>
      <c r="DB84" s="1">
        <v>11202934</v>
      </c>
      <c r="DC84" s="1">
        <v>13874967</v>
      </c>
      <c r="DD84" s="1"/>
      <c r="DE84" s="1">
        <v>6495071</v>
      </c>
      <c r="DF84" s="1">
        <v>14775995</v>
      </c>
      <c r="DG84" s="1">
        <v>16031898</v>
      </c>
      <c r="DH84" s="1"/>
      <c r="DI84" s="1"/>
      <c r="DJ84" s="1">
        <v>7095192</v>
      </c>
      <c r="DK84" s="1">
        <v>1681264</v>
      </c>
      <c r="DL84" s="24"/>
      <c r="DM84" s="24"/>
      <c r="DN84" s="1"/>
      <c r="DO84" s="1"/>
      <c r="DP84" s="2">
        <v>33074121</v>
      </c>
      <c r="DQ84" s="1">
        <v>38083200</v>
      </c>
      <c r="DR84" s="2">
        <v>1646083</v>
      </c>
      <c r="DS84" s="1">
        <v>58235</v>
      </c>
      <c r="DT84" s="1">
        <v>426739</v>
      </c>
      <c r="DU84" s="1">
        <v>58235</v>
      </c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>
        <v>1219344</v>
      </c>
      <c r="EK84" s="1">
        <v>0</v>
      </c>
      <c r="EL84" s="1"/>
      <c r="EM84" s="1"/>
      <c r="EN84" s="1">
        <v>426739</v>
      </c>
      <c r="EO84" s="1">
        <v>58235</v>
      </c>
      <c r="EP84" s="2">
        <v>32847967</v>
      </c>
      <c r="EQ84" s="1">
        <v>51233103</v>
      </c>
      <c r="ER84" s="1">
        <v>19957057</v>
      </c>
      <c r="ES84" s="1">
        <v>14332385</v>
      </c>
      <c r="ET84" s="1">
        <v>645984</v>
      </c>
      <c r="EU84" s="1">
        <v>0</v>
      </c>
      <c r="EV84" s="1">
        <v>4962836</v>
      </c>
      <c r="EW84" s="1">
        <v>10116012</v>
      </c>
      <c r="EX84" s="1"/>
      <c r="EY84" s="1"/>
      <c r="EZ84" s="1"/>
      <c r="FA84" s="1">
        <v>55369</v>
      </c>
      <c r="FB84" s="1"/>
      <c r="FC84" s="1"/>
      <c r="FD84" s="1"/>
      <c r="FE84" s="1"/>
      <c r="FF84" s="1"/>
      <c r="FG84" s="1"/>
      <c r="FH84" s="1">
        <v>277698</v>
      </c>
      <c r="FI84" s="1">
        <v>286199</v>
      </c>
      <c r="FJ84" s="1">
        <v>1428984</v>
      </c>
      <c r="FK84" s="1">
        <v>130294</v>
      </c>
      <c r="FL84" s="1">
        <v>1346869</v>
      </c>
      <c r="FM84" s="1">
        <v>510002</v>
      </c>
      <c r="FN84" s="1"/>
      <c r="FO84" s="1"/>
      <c r="FP84" s="1">
        <v>9942450</v>
      </c>
      <c r="FQ84" s="1">
        <v>1253648</v>
      </c>
      <c r="FR84" s="1">
        <v>1376424</v>
      </c>
      <c r="FS84" s="1">
        <v>1252049</v>
      </c>
      <c r="FT84" s="1">
        <v>12890910</v>
      </c>
      <c r="FU84" s="1">
        <v>36900718</v>
      </c>
      <c r="FV84" s="1"/>
      <c r="FW84" s="1"/>
      <c r="FX84" s="1"/>
      <c r="FY84" s="1"/>
      <c r="FZ84" s="1">
        <v>621796</v>
      </c>
      <c r="GA84" s="1">
        <v>728812</v>
      </c>
      <c r="GB84" s="1">
        <v>34494050</v>
      </c>
      <c r="GC84" s="1">
        <v>51291338</v>
      </c>
      <c r="GD84" s="1">
        <v>67568171</v>
      </c>
      <c r="GE84" s="1">
        <v>89374538</v>
      </c>
    </row>
    <row r="85" spans="1:187" s="3" customFormat="1" x14ac:dyDescent="0.25">
      <c r="A85" s="1">
        <v>20006</v>
      </c>
      <c r="B85" s="1">
        <v>0</v>
      </c>
      <c r="C85" s="3">
        <v>200547548</v>
      </c>
      <c r="D85" s="3" t="s">
        <v>137</v>
      </c>
      <c r="E85" s="4">
        <v>26</v>
      </c>
      <c r="F85" s="4">
        <v>8</v>
      </c>
      <c r="G85" s="4">
        <v>2</v>
      </c>
      <c r="H85" s="4">
        <v>8</v>
      </c>
      <c r="I85" s="1">
        <v>2018</v>
      </c>
      <c r="J85" s="1">
        <v>4</v>
      </c>
      <c r="K85" s="3" t="s">
        <v>0</v>
      </c>
      <c r="L85" s="1">
        <v>2</v>
      </c>
      <c r="M85" s="1">
        <v>30</v>
      </c>
      <c r="N85" s="5">
        <v>0</v>
      </c>
      <c r="O85" s="6">
        <v>43661.393333333333</v>
      </c>
      <c r="P85" s="1">
        <v>41699734</v>
      </c>
      <c r="Q85" s="1">
        <v>64899876</v>
      </c>
      <c r="R85" s="1">
        <v>29438260</v>
      </c>
      <c r="S85" s="1">
        <v>40337438</v>
      </c>
      <c r="T85" s="1">
        <v>12261474</v>
      </c>
      <c r="U85" s="1">
        <v>24562438</v>
      </c>
      <c r="V85" s="1"/>
      <c r="W85" s="1"/>
      <c r="X85" s="1"/>
      <c r="Y85" s="1"/>
      <c r="Z85" s="1"/>
      <c r="AA85" s="1"/>
      <c r="AB85" s="1">
        <v>3775580</v>
      </c>
      <c r="AC85" s="1">
        <v>4796080</v>
      </c>
      <c r="AD85" s="1"/>
      <c r="AE85" s="1"/>
      <c r="AF85" s="1"/>
      <c r="AG85" s="1"/>
      <c r="AH85" s="1"/>
      <c r="AI85" s="1"/>
      <c r="AJ85" s="1"/>
      <c r="AK85" s="1"/>
      <c r="AL85" s="1">
        <v>3775580</v>
      </c>
      <c r="AM85" s="1">
        <v>4796080</v>
      </c>
      <c r="AN85" s="1">
        <v>198257</v>
      </c>
      <c r="AO85" s="1">
        <v>299642</v>
      </c>
      <c r="AP85" s="1">
        <v>7481572</v>
      </c>
      <c r="AQ85" s="1">
        <v>0</v>
      </c>
      <c r="AR85" s="1"/>
      <c r="AS85" s="1"/>
      <c r="AT85" s="1"/>
      <c r="AU85" s="1"/>
      <c r="AV85" s="2">
        <v>23716883</v>
      </c>
      <c r="AW85" s="1">
        <v>29658160</v>
      </c>
      <c r="AX85" s="1">
        <v>16739618</v>
      </c>
      <c r="AY85" s="1">
        <v>16056620</v>
      </c>
      <c r="AZ85" s="1">
        <v>7064760</v>
      </c>
      <c r="BA85" s="1">
        <v>8638156</v>
      </c>
      <c r="BB85" s="1"/>
      <c r="BC85" s="1"/>
      <c r="BD85" s="1">
        <v>9674858</v>
      </c>
      <c r="BE85" s="1">
        <v>7418464</v>
      </c>
      <c r="BF85" s="1"/>
      <c r="BG85" s="1"/>
      <c r="BH85" s="1">
        <v>45521</v>
      </c>
      <c r="BI85" s="1">
        <v>275209</v>
      </c>
      <c r="BJ85" s="1"/>
      <c r="BK85" s="1"/>
      <c r="BL85" s="1">
        <v>6691341</v>
      </c>
      <c r="BM85" s="1">
        <v>11428839</v>
      </c>
      <c r="BN85" s="1">
        <v>813268</v>
      </c>
      <c r="BO85" s="1">
        <v>584280</v>
      </c>
      <c r="BP85" s="1">
        <v>1330565</v>
      </c>
      <c r="BQ85" s="1">
        <v>2470183</v>
      </c>
      <c r="BR85" s="1"/>
      <c r="BS85" s="1"/>
      <c r="BT85" s="1"/>
      <c r="BU85" s="1"/>
      <c r="BV85" s="1"/>
      <c r="BW85" s="1"/>
      <c r="BX85" s="1">
        <v>3563105</v>
      </c>
      <c r="BY85" s="1">
        <v>2609481</v>
      </c>
      <c r="BZ85" s="1">
        <v>270545</v>
      </c>
      <c r="CA85" s="1">
        <v>2231244</v>
      </c>
      <c r="CB85" s="1">
        <v>15192</v>
      </c>
      <c r="CC85" s="1">
        <v>15670</v>
      </c>
      <c r="CD85" s="1"/>
      <c r="CE85" s="1"/>
      <c r="CF85" s="1">
        <v>282944</v>
      </c>
      <c r="CG85" s="1">
        <v>181148</v>
      </c>
      <c r="CH85" s="1">
        <v>1228990</v>
      </c>
      <c r="CI85" s="1">
        <v>3921113</v>
      </c>
      <c r="CJ85" s="1">
        <v>11135958</v>
      </c>
      <c r="CK85" s="1">
        <v>9296358</v>
      </c>
      <c r="CL85" s="1"/>
      <c r="CM85" s="1"/>
      <c r="CN85" s="1">
        <v>1060504</v>
      </c>
      <c r="CO85" s="1">
        <v>128431</v>
      </c>
      <c r="CP85" s="1"/>
      <c r="CQ85" s="1"/>
      <c r="CR85" s="1">
        <v>10075454</v>
      </c>
      <c r="CS85" s="1">
        <v>9167927</v>
      </c>
      <c r="CT85" s="1">
        <v>800000</v>
      </c>
      <c r="CU85" s="1">
        <v>800000</v>
      </c>
      <c r="CV85" s="1">
        <v>52985</v>
      </c>
      <c r="CW85" s="1">
        <v>52985</v>
      </c>
      <c r="CX85" s="2">
        <v>35465423</v>
      </c>
      <c r="CY85" s="1">
        <v>37910011</v>
      </c>
      <c r="CZ85" s="1">
        <v>59182306</v>
      </c>
      <c r="DA85" s="1">
        <v>67568171</v>
      </c>
      <c r="DB85" s="1">
        <v>11202934</v>
      </c>
      <c r="DC85" s="1">
        <v>11202934</v>
      </c>
      <c r="DD85" s="1"/>
      <c r="DE85" s="1"/>
      <c r="DF85" s="1">
        <v>10104841</v>
      </c>
      <c r="DG85" s="1">
        <v>14775995</v>
      </c>
      <c r="DH85" s="1"/>
      <c r="DI85" s="1"/>
      <c r="DJ85" s="1">
        <v>6485941</v>
      </c>
      <c r="DK85" s="1">
        <v>7095192</v>
      </c>
      <c r="DL85" s="24"/>
      <c r="DM85" s="24"/>
      <c r="DN85" s="1"/>
      <c r="DO85" s="1"/>
      <c r="DP85" s="2">
        <v>27793716</v>
      </c>
      <c r="DQ85" s="1">
        <v>33074121</v>
      </c>
      <c r="DR85" s="2">
        <v>3084646</v>
      </c>
      <c r="DS85" s="1">
        <v>1646083</v>
      </c>
      <c r="DT85" s="1">
        <v>707253</v>
      </c>
      <c r="DU85" s="1">
        <v>426739</v>
      </c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>
        <v>2377393</v>
      </c>
      <c r="EK85" s="1">
        <v>1219344</v>
      </c>
      <c r="EL85" s="1"/>
      <c r="EM85" s="1"/>
      <c r="EN85" s="1">
        <v>707253</v>
      </c>
      <c r="EO85" s="1">
        <v>426739</v>
      </c>
      <c r="EP85" s="2">
        <v>28303944</v>
      </c>
      <c r="EQ85" s="1">
        <v>32847967</v>
      </c>
      <c r="ER85" s="1">
        <v>18503944</v>
      </c>
      <c r="ES85" s="1">
        <v>19957057</v>
      </c>
      <c r="ET85" s="1">
        <v>948611</v>
      </c>
      <c r="EU85" s="1">
        <v>645984</v>
      </c>
      <c r="EV85" s="1">
        <v>2415843</v>
      </c>
      <c r="EW85" s="1">
        <v>4962836</v>
      </c>
      <c r="EX85" s="1"/>
      <c r="EY85" s="1"/>
      <c r="EZ85" s="1">
        <v>151925</v>
      </c>
      <c r="FA85" s="1"/>
      <c r="FB85" s="1"/>
      <c r="FC85" s="1"/>
      <c r="FD85" s="1"/>
      <c r="FE85" s="1"/>
      <c r="FF85" s="1"/>
      <c r="FG85" s="1"/>
      <c r="FH85" s="1">
        <v>190648</v>
      </c>
      <c r="FI85" s="1">
        <v>277698</v>
      </c>
      <c r="FJ85" s="1">
        <v>3294405</v>
      </c>
      <c r="FK85" s="1">
        <v>1428984</v>
      </c>
      <c r="FL85" s="1">
        <v>503153</v>
      </c>
      <c r="FM85" s="1">
        <v>1346869</v>
      </c>
      <c r="FN85" s="1">
        <v>497358</v>
      </c>
      <c r="FO85" s="1"/>
      <c r="FP85" s="1">
        <v>9661378</v>
      </c>
      <c r="FQ85" s="1">
        <v>9942450</v>
      </c>
      <c r="FR85" s="1">
        <v>1065307</v>
      </c>
      <c r="FS85" s="1">
        <v>1376424</v>
      </c>
      <c r="FT85" s="1">
        <v>9800000</v>
      </c>
      <c r="FU85" s="1">
        <v>12890910</v>
      </c>
      <c r="FV85" s="1"/>
      <c r="FW85" s="1"/>
      <c r="FX85" s="1"/>
      <c r="FY85" s="1"/>
      <c r="FZ85" s="1">
        <v>723927</v>
      </c>
      <c r="GA85" s="1">
        <v>621796</v>
      </c>
      <c r="GB85" s="1">
        <v>31388590</v>
      </c>
      <c r="GC85" s="1">
        <v>34494050</v>
      </c>
      <c r="GD85" s="1">
        <v>59182306</v>
      </c>
      <c r="GE85" s="1">
        <v>67568171</v>
      </c>
    </row>
    <row r="86" spans="1:187" s="3" customFormat="1" ht="12" x14ac:dyDescent="0.2">
      <c r="A86" s="1">
        <v>20006</v>
      </c>
      <c r="B86" s="1">
        <v>0</v>
      </c>
      <c r="C86" s="1">
        <v>200587450</v>
      </c>
      <c r="D86" s="1" t="s">
        <v>138</v>
      </c>
      <c r="E86" s="1">
        <v>27</v>
      </c>
      <c r="F86" s="1">
        <v>23</v>
      </c>
      <c r="G86" s="1">
        <v>0</v>
      </c>
      <c r="H86" s="1">
        <v>1</v>
      </c>
      <c r="I86" s="1">
        <v>2021</v>
      </c>
      <c r="J86" s="1">
        <v>4</v>
      </c>
      <c r="K86" s="1" t="s">
        <v>0</v>
      </c>
      <c r="L86" s="1">
        <v>2</v>
      </c>
      <c r="M86" s="1">
        <v>30</v>
      </c>
      <c r="N86" s="1">
        <v>0</v>
      </c>
      <c r="O86" s="1">
        <v>44620.447638888887</v>
      </c>
      <c r="P86" s="1">
        <v>3258166</v>
      </c>
      <c r="Q86" s="1">
        <v>8039379</v>
      </c>
      <c r="R86" s="1">
        <v>2730293</v>
      </c>
      <c r="S86" s="1">
        <v>3060294</v>
      </c>
      <c r="T86" s="1">
        <v>527873</v>
      </c>
      <c r="U86" s="1">
        <v>4979085</v>
      </c>
      <c r="V86" s="1"/>
      <c r="W86" s="1"/>
      <c r="X86" s="1"/>
      <c r="Y86" s="1"/>
      <c r="Z86" s="1"/>
      <c r="AA86" s="1"/>
      <c r="AB86" s="1">
        <v>8258551</v>
      </c>
      <c r="AC86" s="1">
        <v>8258551</v>
      </c>
      <c r="AD86" s="1">
        <v>9130</v>
      </c>
      <c r="AE86" s="1">
        <v>9130</v>
      </c>
      <c r="AF86" s="1"/>
      <c r="AG86" s="1"/>
      <c r="AH86" s="1"/>
      <c r="AI86" s="1"/>
      <c r="AJ86" s="1"/>
      <c r="AK86" s="1"/>
      <c r="AL86" s="1">
        <v>8249421</v>
      </c>
      <c r="AM86" s="1">
        <v>8249421</v>
      </c>
      <c r="AN86" s="1"/>
      <c r="AO86" s="1"/>
      <c r="AP86" s="1"/>
      <c r="AQ86" s="1"/>
      <c r="AR86" s="1"/>
      <c r="AS86" s="1"/>
      <c r="AT86" s="1"/>
      <c r="AU86" s="1"/>
      <c r="AV86" s="2">
        <v>8786424</v>
      </c>
      <c r="AW86" s="1">
        <v>13237636</v>
      </c>
      <c r="AX86" s="1">
        <v>0</v>
      </c>
      <c r="AY86" s="1">
        <v>3848005</v>
      </c>
      <c r="AZ86" s="1">
        <v>0</v>
      </c>
      <c r="BA86" s="1">
        <v>3848005</v>
      </c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>
        <v>532536</v>
      </c>
      <c r="BM86" s="1">
        <v>3713831</v>
      </c>
      <c r="BN86" s="1"/>
      <c r="BO86" s="1"/>
      <c r="BP86" s="1">
        <v>425889</v>
      </c>
      <c r="BQ86" s="1">
        <v>2150009</v>
      </c>
      <c r="BR86" s="1"/>
      <c r="BS86" s="1"/>
      <c r="BT86" s="1">
        <v>34530</v>
      </c>
      <c r="BU86" s="1">
        <v>34530</v>
      </c>
      <c r="BV86" s="1"/>
      <c r="BW86" s="1"/>
      <c r="BX86" s="1">
        <v>28497</v>
      </c>
      <c r="BY86" s="1">
        <v>750000</v>
      </c>
      <c r="BZ86" s="1">
        <v>32931</v>
      </c>
      <c r="CA86" s="1">
        <v>715485</v>
      </c>
      <c r="CB86" s="1">
        <v>27</v>
      </c>
      <c r="CC86" s="1">
        <v>0</v>
      </c>
      <c r="CD86" s="1"/>
      <c r="CE86" s="1"/>
      <c r="CF86" s="1"/>
      <c r="CG86" s="1"/>
      <c r="CH86" s="1">
        <v>10662</v>
      </c>
      <c r="CI86" s="1">
        <v>63807</v>
      </c>
      <c r="CJ86" s="1">
        <v>8141</v>
      </c>
      <c r="CK86" s="1">
        <v>913806</v>
      </c>
      <c r="CL86" s="1"/>
      <c r="CM86" s="1"/>
      <c r="CN86" s="1">
        <v>7991</v>
      </c>
      <c r="CO86" s="1">
        <v>913656</v>
      </c>
      <c r="CP86" s="1"/>
      <c r="CQ86" s="1"/>
      <c r="CR86" s="1">
        <v>150</v>
      </c>
      <c r="CS86" s="1">
        <v>150</v>
      </c>
      <c r="CT86" s="1"/>
      <c r="CU86" s="1"/>
      <c r="CV86" s="1"/>
      <c r="CW86" s="1"/>
      <c r="CX86" s="2">
        <v>540677</v>
      </c>
      <c r="CY86" s="1">
        <v>8475642</v>
      </c>
      <c r="CZ86" s="1">
        <v>9327101</v>
      </c>
      <c r="DA86" s="1">
        <v>21713278</v>
      </c>
      <c r="DB86" s="1">
        <v>1217227</v>
      </c>
      <c r="DC86" s="1">
        <v>1211114</v>
      </c>
      <c r="DD86" s="1"/>
      <c r="DE86" s="1"/>
      <c r="DF86" s="1">
        <v>3917079</v>
      </c>
      <c r="DG86" s="1">
        <v>3917079</v>
      </c>
      <c r="DH86" s="1">
        <v>6113</v>
      </c>
      <c r="DI86" s="1">
        <v>6113</v>
      </c>
      <c r="DJ86" s="1">
        <v>2755594</v>
      </c>
      <c r="DK86" s="1">
        <v>2810307</v>
      </c>
      <c r="DL86" s="24"/>
      <c r="DM86" s="24">
        <v>11769600</v>
      </c>
      <c r="DN86" s="1"/>
      <c r="DO86" s="1"/>
      <c r="DP86" s="2">
        <v>7883787</v>
      </c>
      <c r="DQ86" s="1">
        <v>19701987</v>
      </c>
      <c r="DR86" s="2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2">
        <v>1443314</v>
      </c>
      <c r="EQ86" s="1">
        <v>2011291</v>
      </c>
      <c r="ER86" s="1">
        <v>1443314</v>
      </c>
      <c r="ES86" s="1">
        <v>2011291</v>
      </c>
      <c r="ET86" s="1"/>
      <c r="EU86" s="1"/>
      <c r="EV86" s="1">
        <v>65484</v>
      </c>
      <c r="EW86" s="1">
        <v>1795230</v>
      </c>
      <c r="EX86" s="1"/>
      <c r="EY86" s="1"/>
      <c r="EZ86" s="1">
        <v>5741</v>
      </c>
      <c r="FA86" s="1">
        <v>5741</v>
      </c>
      <c r="FB86" s="1"/>
      <c r="FC86" s="1"/>
      <c r="FD86" s="1"/>
      <c r="FE86" s="1"/>
      <c r="FF86" s="1"/>
      <c r="FG86" s="1"/>
      <c r="FH86" s="1">
        <v>1075000</v>
      </c>
      <c r="FI86" s="1">
        <v>0</v>
      </c>
      <c r="FJ86" s="1">
        <v>134557</v>
      </c>
      <c r="FK86" s="1">
        <v>12863</v>
      </c>
      <c r="FL86" s="1"/>
      <c r="FM86" s="1"/>
      <c r="FN86" s="1">
        <v>7972</v>
      </c>
      <c r="FO86" s="1">
        <v>11945</v>
      </c>
      <c r="FP86" s="1">
        <v>72376</v>
      </c>
      <c r="FQ86" s="1">
        <v>0</v>
      </c>
      <c r="FR86" s="1">
        <v>81911</v>
      </c>
      <c r="FS86" s="1">
        <v>132899</v>
      </c>
      <c r="FT86" s="1"/>
      <c r="FU86" s="1"/>
      <c r="FV86" s="1">
        <v>0</v>
      </c>
      <c r="FW86" s="1"/>
      <c r="FX86" s="1"/>
      <c r="FY86" s="1"/>
      <c r="FZ86" s="1">
        <v>273</v>
      </c>
      <c r="GA86" s="1">
        <v>52613</v>
      </c>
      <c r="GB86" s="1">
        <v>1443314</v>
      </c>
      <c r="GC86" s="1">
        <v>2011291</v>
      </c>
      <c r="GD86" s="1">
        <v>9327101</v>
      </c>
      <c r="GE86" s="1">
        <v>21713278</v>
      </c>
    </row>
    <row r="87" spans="1:187" s="3" customFormat="1" ht="12" x14ac:dyDescent="0.2">
      <c r="A87" s="1">
        <v>20006</v>
      </c>
      <c r="B87" s="1">
        <v>0</v>
      </c>
      <c r="C87" s="1">
        <v>200587450</v>
      </c>
      <c r="D87" s="1" t="s">
        <v>138</v>
      </c>
      <c r="E87" s="1">
        <v>27</v>
      </c>
      <c r="F87" s="1">
        <v>23</v>
      </c>
      <c r="G87" s="1">
        <v>0</v>
      </c>
      <c r="H87" s="1">
        <v>1</v>
      </c>
      <c r="I87" s="1">
        <v>2020</v>
      </c>
      <c r="J87" s="1">
        <v>4</v>
      </c>
      <c r="K87" s="1" t="s">
        <v>0</v>
      </c>
      <c r="L87" s="1">
        <v>1</v>
      </c>
      <c r="M87" s="1">
        <v>30</v>
      </c>
      <c r="N87" s="1">
        <v>0</v>
      </c>
      <c r="O87" s="1">
        <v>44226.616539351853</v>
      </c>
      <c r="P87" s="1">
        <v>4576400</v>
      </c>
      <c r="Q87" s="1">
        <v>3258166</v>
      </c>
      <c r="R87" s="1">
        <v>3303834</v>
      </c>
      <c r="S87" s="1">
        <v>2730293</v>
      </c>
      <c r="T87" s="1">
        <v>1272566</v>
      </c>
      <c r="U87" s="1">
        <v>527873</v>
      </c>
      <c r="V87" s="1"/>
      <c r="W87" s="1"/>
      <c r="X87" s="1"/>
      <c r="Y87" s="1"/>
      <c r="Z87" s="1"/>
      <c r="AA87" s="1"/>
      <c r="AB87" s="1">
        <v>8258551</v>
      </c>
      <c r="AC87" s="1">
        <v>8258551</v>
      </c>
      <c r="AD87" s="1">
        <v>9130</v>
      </c>
      <c r="AE87" s="1">
        <v>9130</v>
      </c>
      <c r="AF87" s="1"/>
      <c r="AG87" s="1"/>
      <c r="AH87" s="1"/>
      <c r="AI87" s="1"/>
      <c r="AJ87" s="1"/>
      <c r="AK87" s="1"/>
      <c r="AL87" s="1">
        <v>8249421</v>
      </c>
      <c r="AM87" s="1">
        <v>8249421</v>
      </c>
      <c r="AN87" s="1"/>
      <c r="AO87" s="1"/>
      <c r="AP87" s="1"/>
      <c r="AQ87" s="1"/>
      <c r="AR87" s="1"/>
      <c r="AS87" s="1"/>
      <c r="AT87" s="1"/>
      <c r="AU87" s="1"/>
      <c r="AV87" s="2">
        <v>9531117</v>
      </c>
      <c r="AW87" s="1">
        <v>8786424</v>
      </c>
      <c r="AX87" s="1">
        <v>1406791</v>
      </c>
      <c r="AY87" s="1">
        <v>0</v>
      </c>
      <c r="AZ87" s="1">
        <v>1406791</v>
      </c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>
        <v>1068358</v>
      </c>
      <c r="BM87" s="1">
        <v>532536</v>
      </c>
      <c r="BN87" s="1"/>
      <c r="BO87" s="1"/>
      <c r="BP87" s="1">
        <v>869755</v>
      </c>
      <c r="BQ87" s="1">
        <v>425889</v>
      </c>
      <c r="BR87" s="1"/>
      <c r="BS87" s="1"/>
      <c r="BT87" s="1">
        <v>34530</v>
      </c>
      <c r="BU87" s="1">
        <v>34530</v>
      </c>
      <c r="BV87" s="1"/>
      <c r="BW87" s="1"/>
      <c r="BX87" s="1">
        <v>4000</v>
      </c>
      <c r="BY87" s="1">
        <v>28497</v>
      </c>
      <c r="BZ87" s="1">
        <v>148944</v>
      </c>
      <c r="CA87" s="1">
        <v>32931</v>
      </c>
      <c r="CB87" s="1">
        <v>467</v>
      </c>
      <c r="CC87" s="1">
        <v>27</v>
      </c>
      <c r="CD87" s="1"/>
      <c r="CE87" s="1"/>
      <c r="CF87" s="1"/>
      <c r="CG87" s="1"/>
      <c r="CH87" s="1">
        <v>10662</v>
      </c>
      <c r="CI87" s="1">
        <v>10662</v>
      </c>
      <c r="CJ87" s="1">
        <v>4187</v>
      </c>
      <c r="CK87" s="1">
        <v>8141</v>
      </c>
      <c r="CL87" s="1"/>
      <c r="CM87" s="1"/>
      <c r="CN87" s="1">
        <v>4037</v>
      </c>
      <c r="CO87" s="1">
        <v>7991</v>
      </c>
      <c r="CP87" s="1"/>
      <c r="CQ87" s="1"/>
      <c r="CR87" s="1">
        <v>150</v>
      </c>
      <c r="CS87" s="1">
        <v>150</v>
      </c>
      <c r="CT87" s="1"/>
      <c r="CU87" s="1"/>
      <c r="CV87" s="1"/>
      <c r="CW87" s="1"/>
      <c r="CX87" s="2">
        <v>2479336</v>
      </c>
      <c r="CY87" s="1">
        <v>540677</v>
      </c>
      <c r="CZ87" s="1">
        <v>12010453</v>
      </c>
      <c r="DA87" s="1">
        <v>9327101</v>
      </c>
      <c r="DB87" s="1">
        <v>1217227</v>
      </c>
      <c r="DC87" s="1">
        <v>1217227</v>
      </c>
      <c r="DD87" s="1"/>
      <c r="DE87" s="1"/>
      <c r="DF87" s="1">
        <v>4195034</v>
      </c>
      <c r="DG87" s="1">
        <v>3917079</v>
      </c>
      <c r="DH87" s="1">
        <v>6113</v>
      </c>
      <c r="DI87" s="1">
        <v>6113</v>
      </c>
      <c r="DJ87" s="1">
        <v>3071354</v>
      </c>
      <c r="DK87" s="1">
        <v>2880746</v>
      </c>
      <c r="DL87" s="24"/>
      <c r="DM87" s="24"/>
      <c r="DN87" s="1"/>
      <c r="DO87" s="1"/>
      <c r="DP87" s="2">
        <v>8477502</v>
      </c>
      <c r="DQ87" s="1">
        <v>8008939</v>
      </c>
      <c r="DR87" s="2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2">
        <v>3532951</v>
      </c>
      <c r="EQ87" s="1">
        <v>1318162</v>
      </c>
      <c r="ER87" s="1">
        <v>2037951</v>
      </c>
      <c r="ES87" s="1">
        <v>1318162</v>
      </c>
      <c r="ET87" s="1"/>
      <c r="EU87" s="1"/>
      <c r="EV87" s="1">
        <v>96989</v>
      </c>
      <c r="EW87" s="1">
        <v>65484</v>
      </c>
      <c r="EX87" s="1"/>
      <c r="EY87" s="1"/>
      <c r="EZ87" s="1">
        <v>5741</v>
      </c>
      <c r="FA87" s="1">
        <v>5741</v>
      </c>
      <c r="FB87" s="1"/>
      <c r="FC87" s="1"/>
      <c r="FD87" s="1"/>
      <c r="FE87" s="1"/>
      <c r="FF87" s="1"/>
      <c r="FG87" s="1"/>
      <c r="FH87" s="1">
        <v>924001</v>
      </c>
      <c r="FI87" s="1">
        <v>1075000</v>
      </c>
      <c r="FJ87" s="1">
        <v>593836</v>
      </c>
      <c r="FK87" s="1">
        <v>9405</v>
      </c>
      <c r="FL87" s="1"/>
      <c r="FM87" s="1"/>
      <c r="FN87" s="1">
        <v>6601</v>
      </c>
      <c r="FO87" s="1">
        <v>7972</v>
      </c>
      <c r="FP87" s="1">
        <v>379052</v>
      </c>
      <c r="FQ87" s="1">
        <v>72376</v>
      </c>
      <c r="FR87" s="1">
        <v>31731</v>
      </c>
      <c r="FS87" s="1">
        <v>81911</v>
      </c>
      <c r="FT87" s="1"/>
      <c r="FU87" s="1"/>
      <c r="FV87" s="1">
        <v>1495000</v>
      </c>
      <c r="FW87" s="1"/>
      <c r="FX87" s="1"/>
      <c r="FY87" s="1"/>
      <c r="FZ87" s="1"/>
      <c r="GA87" s="1">
        <v>273</v>
      </c>
      <c r="GB87" s="1">
        <v>3532951</v>
      </c>
      <c r="GC87" s="1">
        <v>1318162</v>
      </c>
      <c r="GD87" s="1">
        <v>12010453</v>
      </c>
      <c r="GE87" s="1">
        <v>9327101</v>
      </c>
    </row>
    <row r="88" spans="1:187" s="3" customFormat="1" ht="12" x14ac:dyDescent="0.2">
      <c r="A88" s="1">
        <v>20006</v>
      </c>
      <c r="B88" s="1">
        <v>0</v>
      </c>
      <c r="C88" s="1">
        <v>200587450</v>
      </c>
      <c r="D88" s="1" t="s">
        <v>138</v>
      </c>
      <c r="E88" s="1">
        <v>27</v>
      </c>
      <c r="F88" s="1">
        <v>23</v>
      </c>
      <c r="G88" s="1">
        <v>0</v>
      </c>
      <c r="H88" s="1">
        <v>1</v>
      </c>
      <c r="I88" s="1">
        <v>2019</v>
      </c>
      <c r="J88" s="1">
        <v>4</v>
      </c>
      <c r="K88" s="1" t="s">
        <v>0</v>
      </c>
      <c r="L88" s="1">
        <v>2</v>
      </c>
      <c r="M88" s="1">
        <v>30</v>
      </c>
      <c r="N88" s="1">
        <v>0</v>
      </c>
      <c r="O88" s="1">
        <v>44222.51761574074</v>
      </c>
      <c r="P88" s="1">
        <v>15688439</v>
      </c>
      <c r="Q88" s="1">
        <v>4576400</v>
      </c>
      <c r="R88" s="1">
        <v>10558236</v>
      </c>
      <c r="S88" s="1">
        <v>3303834</v>
      </c>
      <c r="T88" s="1">
        <v>5130203</v>
      </c>
      <c r="U88" s="1">
        <v>1272566</v>
      </c>
      <c r="V88" s="1"/>
      <c r="W88" s="1"/>
      <c r="X88" s="1"/>
      <c r="Y88" s="1"/>
      <c r="Z88" s="1"/>
      <c r="AA88" s="1"/>
      <c r="AB88" s="1">
        <v>9130</v>
      </c>
      <c r="AC88" s="1">
        <v>8258551</v>
      </c>
      <c r="AD88" s="1">
        <v>9130</v>
      </c>
      <c r="AE88" s="1">
        <v>9130</v>
      </c>
      <c r="AF88" s="1"/>
      <c r="AG88" s="1"/>
      <c r="AH88" s="1"/>
      <c r="AI88" s="1"/>
      <c r="AJ88" s="1"/>
      <c r="AK88" s="1"/>
      <c r="AL88" s="1"/>
      <c r="AM88" s="1">
        <v>8249421</v>
      </c>
      <c r="AN88" s="1"/>
      <c r="AO88" s="1"/>
      <c r="AP88" s="1">
        <v>12400</v>
      </c>
      <c r="AQ88" s="1"/>
      <c r="AR88" s="1"/>
      <c r="AS88" s="1"/>
      <c r="AT88" s="1"/>
      <c r="AU88" s="1"/>
      <c r="AV88" s="2">
        <v>5151733</v>
      </c>
      <c r="AW88" s="1">
        <v>9531117</v>
      </c>
      <c r="AX88" s="1">
        <v>7104767</v>
      </c>
      <c r="AY88" s="1">
        <v>1406791</v>
      </c>
      <c r="AZ88" s="1">
        <v>1670715</v>
      </c>
      <c r="BA88" s="1">
        <v>1406791</v>
      </c>
      <c r="BB88" s="1">
        <v>459968</v>
      </c>
      <c r="BC88" s="1"/>
      <c r="BD88" s="1">
        <v>4974084</v>
      </c>
      <c r="BE88" s="1"/>
      <c r="BF88" s="1"/>
      <c r="BG88" s="1"/>
      <c r="BH88" s="1">
        <v>1890</v>
      </c>
      <c r="BI88" s="1"/>
      <c r="BJ88" s="1"/>
      <c r="BK88" s="1"/>
      <c r="BL88" s="1">
        <v>1068749</v>
      </c>
      <c r="BM88" s="1">
        <v>1068358</v>
      </c>
      <c r="BN88" s="1"/>
      <c r="BO88" s="1"/>
      <c r="BP88" s="1">
        <v>372794</v>
      </c>
      <c r="BQ88" s="1">
        <v>869755</v>
      </c>
      <c r="BR88" s="1"/>
      <c r="BS88" s="1"/>
      <c r="BT88" s="1">
        <v>34530</v>
      </c>
      <c r="BU88" s="1">
        <v>34530</v>
      </c>
      <c r="BV88" s="1"/>
      <c r="BW88" s="1"/>
      <c r="BX88" s="1">
        <v>113509</v>
      </c>
      <c r="BY88" s="1">
        <v>4000</v>
      </c>
      <c r="BZ88" s="1">
        <v>4332</v>
      </c>
      <c r="CA88" s="1">
        <v>148944</v>
      </c>
      <c r="CB88" s="1">
        <v>805</v>
      </c>
      <c r="CC88" s="1">
        <v>467</v>
      </c>
      <c r="CD88" s="1"/>
      <c r="CE88" s="1"/>
      <c r="CF88" s="1">
        <v>303794</v>
      </c>
      <c r="CG88" s="1"/>
      <c r="CH88" s="1">
        <v>238985</v>
      </c>
      <c r="CI88" s="1">
        <v>10662</v>
      </c>
      <c r="CJ88" s="1">
        <v>44556</v>
      </c>
      <c r="CK88" s="1">
        <v>4187</v>
      </c>
      <c r="CL88" s="1"/>
      <c r="CM88" s="1"/>
      <c r="CN88" s="1">
        <v>42447</v>
      </c>
      <c r="CO88" s="1">
        <v>4037</v>
      </c>
      <c r="CP88" s="1"/>
      <c r="CQ88" s="1"/>
      <c r="CR88" s="1">
        <v>2109</v>
      </c>
      <c r="CS88" s="1">
        <v>150</v>
      </c>
      <c r="CT88" s="1">
        <v>204653</v>
      </c>
      <c r="CU88" s="1"/>
      <c r="CV88" s="1"/>
      <c r="CW88" s="1"/>
      <c r="CX88" s="2">
        <v>8424615</v>
      </c>
      <c r="CY88" s="1">
        <v>2479336</v>
      </c>
      <c r="CZ88" s="1">
        <v>13576348</v>
      </c>
      <c r="DA88" s="1">
        <v>12010453</v>
      </c>
      <c r="DB88" s="1">
        <v>1217227</v>
      </c>
      <c r="DC88" s="1">
        <v>1217227</v>
      </c>
      <c r="DD88" s="1"/>
      <c r="DE88" s="1"/>
      <c r="DF88" s="1">
        <v>3536157</v>
      </c>
      <c r="DG88" s="1">
        <v>4195034</v>
      </c>
      <c r="DH88" s="1">
        <v>-6113</v>
      </c>
      <c r="DI88" s="1">
        <v>6113</v>
      </c>
      <c r="DJ88" s="1">
        <v>1245220</v>
      </c>
      <c r="DK88" s="1">
        <v>3071354</v>
      </c>
      <c r="DL88" s="24"/>
      <c r="DM88" s="24"/>
      <c r="DN88" s="1"/>
      <c r="DO88" s="1"/>
      <c r="DP88" s="2">
        <v>6004717</v>
      </c>
      <c r="DQ88" s="1">
        <v>8477502</v>
      </c>
      <c r="DR88" s="2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2">
        <v>7571631</v>
      </c>
      <c r="EQ88" s="1">
        <v>3532951</v>
      </c>
      <c r="ER88" s="1">
        <v>7383248</v>
      </c>
      <c r="ES88" s="1">
        <v>2037951</v>
      </c>
      <c r="ET88" s="1"/>
      <c r="EU88" s="1"/>
      <c r="EV88" s="1">
        <v>118428</v>
      </c>
      <c r="EW88" s="1">
        <v>96989</v>
      </c>
      <c r="EX88" s="1"/>
      <c r="EY88" s="1"/>
      <c r="EZ88" s="1">
        <v>5741</v>
      </c>
      <c r="FA88" s="1">
        <v>5741</v>
      </c>
      <c r="FB88" s="1"/>
      <c r="FC88" s="1"/>
      <c r="FD88" s="1"/>
      <c r="FE88" s="1"/>
      <c r="FF88" s="1"/>
      <c r="FG88" s="1"/>
      <c r="FH88" s="1">
        <v>6556153</v>
      </c>
      <c r="FI88" s="1">
        <v>924001</v>
      </c>
      <c r="FJ88" s="1">
        <v>68260</v>
      </c>
      <c r="FK88" s="1">
        <v>593836</v>
      </c>
      <c r="FL88" s="1"/>
      <c r="FM88" s="1"/>
      <c r="FN88" s="1">
        <v>140641</v>
      </c>
      <c r="FO88" s="1">
        <v>6601</v>
      </c>
      <c r="FP88" s="1">
        <v>31598</v>
      </c>
      <c r="FQ88" s="1">
        <v>379052</v>
      </c>
      <c r="FR88" s="1">
        <v>425221</v>
      </c>
      <c r="FS88" s="1">
        <v>31731</v>
      </c>
      <c r="FT88" s="1"/>
      <c r="FU88" s="1"/>
      <c r="FV88" s="1">
        <v>188383</v>
      </c>
      <c r="FW88" s="1">
        <v>1495000</v>
      </c>
      <c r="FX88" s="1"/>
      <c r="FY88" s="1"/>
      <c r="FZ88" s="1">
        <v>37206</v>
      </c>
      <c r="GA88" s="1"/>
      <c r="GB88" s="1">
        <v>7571631</v>
      </c>
      <c r="GC88" s="1">
        <v>3532951</v>
      </c>
      <c r="GD88" s="1">
        <v>13576348</v>
      </c>
      <c r="GE88" s="1">
        <v>12010453</v>
      </c>
    </row>
    <row r="89" spans="1:187" s="3" customFormat="1" x14ac:dyDescent="0.25">
      <c r="A89" s="1">
        <v>20006</v>
      </c>
      <c r="B89" s="1">
        <v>0</v>
      </c>
      <c r="C89" s="3">
        <v>200587450</v>
      </c>
      <c r="D89" s="3" t="s">
        <v>138</v>
      </c>
      <c r="E89" s="4">
        <v>27</v>
      </c>
      <c r="F89" s="4">
        <v>23</v>
      </c>
      <c r="G89" s="4">
        <v>0</v>
      </c>
      <c r="H89" s="4">
        <v>1</v>
      </c>
      <c r="I89" s="1">
        <v>2018</v>
      </c>
      <c r="J89" s="1">
        <v>4</v>
      </c>
      <c r="K89" s="3" t="s">
        <v>0</v>
      </c>
      <c r="L89" s="1">
        <v>1</v>
      </c>
      <c r="M89" s="1">
        <v>30</v>
      </c>
      <c r="N89" s="5">
        <v>0</v>
      </c>
      <c r="O89" s="6">
        <v>43509.47184027778</v>
      </c>
      <c r="P89" s="1">
        <v>15805653</v>
      </c>
      <c r="Q89" s="1">
        <v>15688439</v>
      </c>
      <c r="R89" s="1">
        <v>9844831</v>
      </c>
      <c r="S89" s="1">
        <v>10558236</v>
      </c>
      <c r="T89" s="1">
        <v>5960822</v>
      </c>
      <c r="U89" s="1">
        <v>5130203</v>
      </c>
      <c r="V89" s="1"/>
      <c r="W89" s="1"/>
      <c r="X89" s="1"/>
      <c r="Y89" s="1"/>
      <c r="Z89" s="1"/>
      <c r="AA89" s="1"/>
      <c r="AB89" s="1">
        <v>9130</v>
      </c>
      <c r="AC89" s="1">
        <v>9130</v>
      </c>
      <c r="AD89" s="1">
        <v>9130</v>
      </c>
      <c r="AE89" s="1">
        <v>9130</v>
      </c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>
        <v>12400</v>
      </c>
      <c r="AR89" s="1"/>
      <c r="AS89" s="1"/>
      <c r="AT89" s="1"/>
      <c r="AU89" s="1"/>
      <c r="AV89" s="2">
        <v>5969952</v>
      </c>
      <c r="AW89" s="1">
        <v>5151733</v>
      </c>
      <c r="AX89" s="1">
        <v>9133630</v>
      </c>
      <c r="AY89" s="1">
        <v>7104767</v>
      </c>
      <c r="AZ89" s="1">
        <v>6716432</v>
      </c>
      <c r="BA89" s="1">
        <v>1670715</v>
      </c>
      <c r="BB89" s="1">
        <v>704710</v>
      </c>
      <c r="BC89" s="1">
        <v>459968</v>
      </c>
      <c r="BD89" s="1">
        <v>1712488</v>
      </c>
      <c r="BE89" s="1">
        <v>4974084</v>
      </c>
      <c r="BF89" s="1"/>
      <c r="BG89" s="1"/>
      <c r="BH89" s="1">
        <v>1586</v>
      </c>
      <c r="BI89" s="1">
        <v>1890</v>
      </c>
      <c r="BJ89" s="1"/>
      <c r="BK89" s="1"/>
      <c r="BL89" s="1">
        <v>1364539</v>
      </c>
      <c r="BM89" s="1">
        <v>1068749</v>
      </c>
      <c r="BN89" s="1"/>
      <c r="BO89" s="1"/>
      <c r="BP89" s="1">
        <v>96478</v>
      </c>
      <c r="BQ89" s="1">
        <v>372794</v>
      </c>
      <c r="BR89" s="1"/>
      <c r="BS89" s="1"/>
      <c r="BT89" s="1">
        <v>14515</v>
      </c>
      <c r="BU89" s="1">
        <v>34530</v>
      </c>
      <c r="BV89" s="1"/>
      <c r="BW89" s="1"/>
      <c r="BX89" s="1">
        <v>630291</v>
      </c>
      <c r="BY89" s="1">
        <v>113509</v>
      </c>
      <c r="BZ89" s="1">
        <v>17</v>
      </c>
      <c r="CA89" s="1">
        <v>4332</v>
      </c>
      <c r="CB89" s="1">
        <v>652</v>
      </c>
      <c r="CC89" s="1">
        <v>805</v>
      </c>
      <c r="CD89" s="1"/>
      <c r="CE89" s="1"/>
      <c r="CF89" s="1">
        <v>305818</v>
      </c>
      <c r="CG89" s="1">
        <v>303794</v>
      </c>
      <c r="CH89" s="1">
        <v>316768</v>
      </c>
      <c r="CI89" s="1">
        <v>238985</v>
      </c>
      <c r="CJ89" s="1">
        <v>917282</v>
      </c>
      <c r="CK89" s="1">
        <v>44556</v>
      </c>
      <c r="CL89" s="1"/>
      <c r="CM89" s="1"/>
      <c r="CN89" s="1">
        <v>894941</v>
      </c>
      <c r="CO89" s="1">
        <v>42447</v>
      </c>
      <c r="CP89" s="1"/>
      <c r="CQ89" s="1"/>
      <c r="CR89" s="1">
        <v>22341</v>
      </c>
      <c r="CS89" s="1">
        <v>2109</v>
      </c>
      <c r="CT89" s="1"/>
      <c r="CU89" s="1">
        <v>204653</v>
      </c>
      <c r="CV89" s="1"/>
      <c r="CW89" s="1"/>
      <c r="CX89" s="2">
        <v>11417037</v>
      </c>
      <c r="CY89" s="1">
        <v>8424615</v>
      </c>
      <c r="CZ89" s="1">
        <v>17386989</v>
      </c>
      <c r="DA89" s="1">
        <v>13576348</v>
      </c>
      <c r="DB89" s="1">
        <v>1217227</v>
      </c>
      <c r="DC89" s="1">
        <v>1217227</v>
      </c>
      <c r="DD89" s="1"/>
      <c r="DE89" s="1"/>
      <c r="DF89" s="1">
        <v>3573158</v>
      </c>
      <c r="DG89" s="1">
        <v>3536157</v>
      </c>
      <c r="DH89" s="1">
        <v>6113</v>
      </c>
      <c r="DI89" s="1">
        <v>6113</v>
      </c>
      <c r="DJ89" s="1">
        <v>26106</v>
      </c>
      <c r="DK89" s="1">
        <v>1245220</v>
      </c>
      <c r="DL89" s="24"/>
      <c r="DM89" s="24"/>
      <c r="DN89" s="1"/>
      <c r="DO89" s="1"/>
      <c r="DP89" s="2">
        <v>4810378</v>
      </c>
      <c r="DQ89" s="1">
        <v>5992491</v>
      </c>
      <c r="DR89" s="2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2">
        <v>12576611</v>
      </c>
      <c r="EQ89" s="1">
        <v>7583857</v>
      </c>
      <c r="ER89" s="1">
        <v>12328395</v>
      </c>
      <c r="ES89" s="1">
        <v>7395474</v>
      </c>
      <c r="ET89" s="1"/>
      <c r="EU89" s="1"/>
      <c r="EV89" s="1">
        <v>530854</v>
      </c>
      <c r="EW89" s="1">
        <v>118428</v>
      </c>
      <c r="EX89" s="1"/>
      <c r="EY89" s="1"/>
      <c r="EZ89" s="1">
        <v>10846</v>
      </c>
      <c r="FA89" s="1">
        <v>5741</v>
      </c>
      <c r="FB89" s="1"/>
      <c r="FC89" s="1"/>
      <c r="FD89" s="1"/>
      <c r="FE89" s="1"/>
      <c r="FF89" s="1"/>
      <c r="FG89" s="1"/>
      <c r="FH89" s="1">
        <v>11329277</v>
      </c>
      <c r="FI89" s="1">
        <v>6568379</v>
      </c>
      <c r="FJ89" s="1">
        <v>141757</v>
      </c>
      <c r="FK89" s="1">
        <v>68260</v>
      </c>
      <c r="FL89" s="1"/>
      <c r="FM89" s="1"/>
      <c r="FN89" s="1">
        <v>73135</v>
      </c>
      <c r="FO89" s="1">
        <v>140641</v>
      </c>
      <c r="FP89" s="1">
        <v>31598</v>
      </c>
      <c r="FQ89" s="1">
        <v>31598</v>
      </c>
      <c r="FR89" s="1">
        <v>195112</v>
      </c>
      <c r="FS89" s="1">
        <v>425221</v>
      </c>
      <c r="FT89" s="1"/>
      <c r="FU89" s="1"/>
      <c r="FV89" s="1">
        <v>248216</v>
      </c>
      <c r="FW89" s="1">
        <v>188383</v>
      </c>
      <c r="FX89" s="1"/>
      <c r="FY89" s="1"/>
      <c r="FZ89" s="1">
        <v>15816</v>
      </c>
      <c r="GA89" s="1">
        <v>37206</v>
      </c>
      <c r="GB89" s="1">
        <v>12576611</v>
      </c>
      <c r="GC89" s="1">
        <v>7583857</v>
      </c>
      <c r="GD89" s="1">
        <v>17386989</v>
      </c>
      <c r="GE89" s="1">
        <v>13576348</v>
      </c>
    </row>
    <row r="90" spans="1:187" s="3" customFormat="1" ht="12" x14ac:dyDescent="0.2">
      <c r="A90" s="1">
        <v>20006</v>
      </c>
      <c r="B90" s="1">
        <v>0</v>
      </c>
      <c r="C90" s="1">
        <v>200595877</v>
      </c>
      <c r="D90" s="1" t="s">
        <v>122</v>
      </c>
      <c r="E90" s="1">
        <v>27</v>
      </c>
      <c r="F90" s="1">
        <v>16</v>
      </c>
      <c r="G90" s="1">
        <v>0</v>
      </c>
      <c r="H90" s="1">
        <v>1</v>
      </c>
      <c r="I90" s="1">
        <v>2021</v>
      </c>
      <c r="J90" s="1">
        <v>4</v>
      </c>
      <c r="K90" s="1" t="s">
        <v>0</v>
      </c>
      <c r="L90" s="1">
        <v>2</v>
      </c>
      <c r="M90" s="1">
        <v>30</v>
      </c>
      <c r="N90" s="1">
        <v>0</v>
      </c>
      <c r="O90" s="1">
        <v>44619.886238425926</v>
      </c>
      <c r="P90" s="1">
        <v>7161829</v>
      </c>
      <c r="Q90" s="1">
        <v>7163161</v>
      </c>
      <c r="R90" s="1">
        <v>3979643</v>
      </c>
      <c r="S90" s="1">
        <v>4386868</v>
      </c>
      <c r="T90" s="1">
        <v>3182186</v>
      </c>
      <c r="U90" s="1">
        <v>2776293</v>
      </c>
      <c r="V90" s="1">
        <v>1949</v>
      </c>
      <c r="W90" s="1">
        <v>1949</v>
      </c>
      <c r="X90" s="1">
        <v>891</v>
      </c>
      <c r="Y90" s="1">
        <v>1200</v>
      </c>
      <c r="Z90" s="1">
        <v>1058</v>
      </c>
      <c r="AA90" s="1">
        <v>749</v>
      </c>
      <c r="AB90" s="1">
        <v>20437</v>
      </c>
      <c r="AC90" s="1">
        <v>20437</v>
      </c>
      <c r="AD90" s="1">
        <v>205</v>
      </c>
      <c r="AE90" s="1">
        <v>205</v>
      </c>
      <c r="AF90" s="1"/>
      <c r="AG90" s="1"/>
      <c r="AH90" s="1">
        <v>20232</v>
      </c>
      <c r="AI90" s="1">
        <v>20232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2">
        <v>3203681</v>
      </c>
      <c r="AW90" s="1">
        <v>2797479</v>
      </c>
      <c r="AX90" s="1">
        <v>1753197</v>
      </c>
      <c r="AY90" s="1">
        <v>1459124</v>
      </c>
      <c r="AZ90" s="1">
        <v>1753197</v>
      </c>
      <c r="BA90" s="1">
        <v>1459124</v>
      </c>
      <c r="BB90" s="1"/>
      <c r="BC90" s="1"/>
      <c r="BD90" s="1"/>
      <c r="BE90" s="1"/>
      <c r="BF90" s="1"/>
      <c r="BG90" s="1"/>
      <c r="BH90" s="1">
        <v>149357</v>
      </c>
      <c r="BI90" s="1">
        <v>143389</v>
      </c>
      <c r="BJ90" s="1"/>
      <c r="BK90" s="1"/>
      <c r="BL90" s="1">
        <v>5941938</v>
      </c>
      <c r="BM90" s="1">
        <v>10302419</v>
      </c>
      <c r="BN90" s="1"/>
      <c r="BO90" s="1"/>
      <c r="BP90" s="1">
        <v>5789622</v>
      </c>
      <c r="BQ90" s="1">
        <v>7008656</v>
      </c>
      <c r="BR90" s="1"/>
      <c r="BS90" s="1"/>
      <c r="BT90" s="1"/>
      <c r="BU90" s="1"/>
      <c r="BV90" s="1"/>
      <c r="BW90" s="1"/>
      <c r="BX90" s="1">
        <v>58786</v>
      </c>
      <c r="BY90" s="1">
        <v>3189567</v>
      </c>
      <c r="BZ90" s="1">
        <v>15433</v>
      </c>
      <c r="CA90" s="1">
        <v>20609</v>
      </c>
      <c r="CB90" s="1">
        <v>434</v>
      </c>
      <c r="CC90" s="1">
        <v>1379</v>
      </c>
      <c r="CD90" s="1"/>
      <c r="CE90" s="1"/>
      <c r="CF90" s="1"/>
      <c r="CG90" s="1"/>
      <c r="CH90" s="1">
        <v>77663</v>
      </c>
      <c r="CI90" s="1">
        <v>82208</v>
      </c>
      <c r="CJ90" s="1">
        <v>1216812</v>
      </c>
      <c r="CK90" s="1">
        <v>5330</v>
      </c>
      <c r="CL90" s="1"/>
      <c r="CM90" s="1"/>
      <c r="CN90" s="1">
        <v>1214484</v>
      </c>
      <c r="CO90" s="1">
        <v>5318</v>
      </c>
      <c r="CP90" s="1"/>
      <c r="CQ90" s="1"/>
      <c r="CR90" s="1">
        <v>2328</v>
      </c>
      <c r="CS90" s="1">
        <v>12</v>
      </c>
      <c r="CT90" s="1"/>
      <c r="CU90" s="1"/>
      <c r="CV90" s="1">
        <v>12330</v>
      </c>
      <c r="CW90" s="1">
        <v>12330</v>
      </c>
      <c r="CX90" s="2">
        <v>9073634</v>
      </c>
      <c r="CY90" s="1">
        <v>11922592</v>
      </c>
      <c r="CZ90" s="1">
        <v>12277315</v>
      </c>
      <c r="DA90" s="1">
        <v>14720071</v>
      </c>
      <c r="DB90" s="1">
        <v>677310</v>
      </c>
      <c r="DC90" s="1">
        <v>677310</v>
      </c>
      <c r="DD90" s="1">
        <v>601753</v>
      </c>
      <c r="DE90" s="1">
        <v>601753</v>
      </c>
      <c r="DF90" s="1">
        <v>5049241</v>
      </c>
      <c r="DG90" s="1">
        <v>5049241</v>
      </c>
      <c r="DH90" s="1"/>
      <c r="DI90" s="1"/>
      <c r="DJ90" s="1">
        <v>5150926</v>
      </c>
      <c r="DK90" s="1">
        <v>7081657</v>
      </c>
      <c r="DL90" s="24"/>
      <c r="DM90" s="24"/>
      <c r="DN90" s="1"/>
      <c r="DO90" s="1"/>
      <c r="DP90" s="2">
        <v>11479230</v>
      </c>
      <c r="DQ90" s="1">
        <v>13409961</v>
      </c>
      <c r="DR90" s="2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2">
        <v>798085</v>
      </c>
      <c r="EQ90" s="1">
        <v>1310110</v>
      </c>
      <c r="ER90" s="1">
        <v>798085</v>
      </c>
      <c r="ES90" s="1">
        <v>1281711</v>
      </c>
      <c r="ET90" s="1"/>
      <c r="EU90" s="1"/>
      <c r="EV90" s="1">
        <v>1407</v>
      </c>
      <c r="EW90" s="1">
        <v>209123</v>
      </c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>
        <v>3863</v>
      </c>
      <c r="FJ90" s="1">
        <v>326445</v>
      </c>
      <c r="FK90" s="1">
        <v>353265</v>
      </c>
      <c r="FL90" s="1"/>
      <c r="FM90" s="1"/>
      <c r="FN90" s="1"/>
      <c r="FO90" s="1">
        <v>2</v>
      </c>
      <c r="FP90" s="1">
        <v>84563</v>
      </c>
      <c r="FQ90" s="1">
        <v>4640</v>
      </c>
      <c r="FR90" s="1">
        <v>369298</v>
      </c>
      <c r="FS90" s="1">
        <v>685363</v>
      </c>
      <c r="FT90" s="1"/>
      <c r="FU90" s="1"/>
      <c r="FV90" s="1"/>
      <c r="FW90" s="1">
        <v>28399</v>
      </c>
      <c r="FX90" s="1"/>
      <c r="FY90" s="1"/>
      <c r="FZ90" s="1">
        <v>16372</v>
      </c>
      <c r="GA90" s="1">
        <v>25455</v>
      </c>
      <c r="GB90" s="1">
        <v>798085</v>
      </c>
      <c r="GC90" s="1">
        <v>1310110</v>
      </c>
      <c r="GD90" s="1">
        <v>12277315</v>
      </c>
      <c r="GE90" s="1">
        <v>14720071</v>
      </c>
    </row>
    <row r="91" spans="1:187" s="3" customFormat="1" ht="12" x14ac:dyDescent="0.2">
      <c r="A91" s="1">
        <v>20006</v>
      </c>
      <c r="B91" s="1">
        <v>0</v>
      </c>
      <c r="C91" s="1">
        <v>200595877</v>
      </c>
      <c r="D91" s="1" t="s">
        <v>122</v>
      </c>
      <c r="E91" s="1">
        <v>27</v>
      </c>
      <c r="F91" s="1">
        <v>16</v>
      </c>
      <c r="G91" s="1">
        <v>0</v>
      </c>
      <c r="H91" s="1">
        <v>1</v>
      </c>
      <c r="I91" s="1">
        <v>2020</v>
      </c>
      <c r="J91" s="1">
        <v>4</v>
      </c>
      <c r="K91" s="1" t="s">
        <v>0</v>
      </c>
      <c r="L91" s="1">
        <v>1</v>
      </c>
      <c r="M91" s="1">
        <v>30</v>
      </c>
      <c r="N91" s="1">
        <v>0</v>
      </c>
      <c r="O91" s="1">
        <v>44242.694039351853</v>
      </c>
      <c r="P91" s="1">
        <v>6994308.8200000003</v>
      </c>
      <c r="Q91" s="1">
        <v>7161828.5899999999</v>
      </c>
      <c r="R91" s="1">
        <v>3560122.46</v>
      </c>
      <c r="S91" s="1">
        <v>3979642.69</v>
      </c>
      <c r="T91" s="1">
        <v>3434186.36</v>
      </c>
      <c r="U91" s="1">
        <v>3182185.9</v>
      </c>
      <c r="V91" s="1">
        <v>1948.56</v>
      </c>
      <c r="W91" s="1">
        <v>1948.56</v>
      </c>
      <c r="X91" s="1">
        <v>581.85</v>
      </c>
      <c r="Y91" s="1">
        <v>890.53</v>
      </c>
      <c r="Z91" s="1">
        <v>1366.71</v>
      </c>
      <c r="AA91" s="1">
        <v>1058.03</v>
      </c>
      <c r="AB91" s="1">
        <v>205.33</v>
      </c>
      <c r="AC91" s="1">
        <v>20436.849999999999</v>
      </c>
      <c r="AD91" s="1">
        <v>205.33</v>
      </c>
      <c r="AE91" s="1">
        <v>205.33</v>
      </c>
      <c r="AF91" s="1">
        <v>0</v>
      </c>
      <c r="AG91" s="1">
        <v>0</v>
      </c>
      <c r="AH91" s="1">
        <v>0</v>
      </c>
      <c r="AI91" s="1">
        <v>20231.52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2">
        <v>3435758.4</v>
      </c>
      <c r="AW91" s="1">
        <v>3203680.78</v>
      </c>
      <c r="AX91" s="1">
        <v>1862462.72</v>
      </c>
      <c r="AY91" s="1">
        <v>1753196.7</v>
      </c>
      <c r="AZ91" s="1">
        <v>1862462.72</v>
      </c>
      <c r="BA91" s="1">
        <v>1753196.7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5002.6099999999997</v>
      </c>
      <c r="BI91" s="1">
        <v>149357.09</v>
      </c>
      <c r="BJ91" s="1">
        <v>0</v>
      </c>
      <c r="BK91" s="1">
        <v>0</v>
      </c>
      <c r="BL91" s="1">
        <v>1793026.85</v>
      </c>
      <c r="BM91" s="1">
        <v>5941937.5999999996</v>
      </c>
      <c r="BN91" s="1">
        <v>0</v>
      </c>
      <c r="BO91" s="1">
        <v>0</v>
      </c>
      <c r="BP91" s="1">
        <v>689173.49</v>
      </c>
      <c r="BQ91" s="1">
        <v>5789621.6100000003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997079.53</v>
      </c>
      <c r="BY91" s="1">
        <v>58785.69</v>
      </c>
      <c r="BZ91" s="1">
        <v>6000.23</v>
      </c>
      <c r="CA91" s="1">
        <v>15433.17</v>
      </c>
      <c r="CB91" s="1">
        <v>1933.9</v>
      </c>
      <c r="CC91" s="1">
        <v>434.1</v>
      </c>
      <c r="CD91" s="1">
        <v>0</v>
      </c>
      <c r="CE91" s="1">
        <v>0</v>
      </c>
      <c r="CF91" s="1">
        <v>0</v>
      </c>
      <c r="CG91" s="1">
        <v>0</v>
      </c>
      <c r="CH91" s="1">
        <v>98839.7</v>
      </c>
      <c r="CI91" s="1">
        <v>77663.03</v>
      </c>
      <c r="CJ91" s="1">
        <v>108439.44</v>
      </c>
      <c r="CK91" s="1">
        <v>1216812.52</v>
      </c>
      <c r="CL91" s="1">
        <v>0</v>
      </c>
      <c r="CM91" s="1">
        <v>0</v>
      </c>
      <c r="CN91" s="1">
        <v>107106.14</v>
      </c>
      <c r="CO91" s="1">
        <v>1214484.5</v>
      </c>
      <c r="CP91" s="1">
        <v>0</v>
      </c>
      <c r="CQ91" s="1">
        <v>0</v>
      </c>
      <c r="CR91" s="1">
        <v>1333.3</v>
      </c>
      <c r="CS91" s="1">
        <v>2328.02</v>
      </c>
      <c r="CT91" s="1">
        <v>0</v>
      </c>
      <c r="CU91" s="1">
        <v>0</v>
      </c>
      <c r="CV91" s="1">
        <v>12330.13</v>
      </c>
      <c r="CW91" s="1">
        <v>12330.13</v>
      </c>
      <c r="CX91" s="2">
        <v>3781261.75</v>
      </c>
      <c r="CY91" s="1">
        <v>9073634.0399999991</v>
      </c>
      <c r="CZ91" s="1">
        <v>7217020.1500000004</v>
      </c>
      <c r="DA91" s="1">
        <v>12277314.82</v>
      </c>
      <c r="DB91" s="1">
        <v>677310</v>
      </c>
      <c r="DC91" s="1">
        <v>677310</v>
      </c>
      <c r="DD91" s="1">
        <v>601753.05000000005</v>
      </c>
      <c r="DE91" s="1">
        <v>601753.05000000005</v>
      </c>
      <c r="DF91" s="1">
        <v>4842600.4000000004</v>
      </c>
      <c r="DG91" s="1">
        <v>5049241.2699999996</v>
      </c>
      <c r="DH91" s="1">
        <v>0</v>
      </c>
      <c r="DI91" s="1">
        <v>0</v>
      </c>
      <c r="DJ91" s="1">
        <v>398402.65</v>
      </c>
      <c r="DK91" s="1">
        <v>5150925.92</v>
      </c>
      <c r="DL91" s="24">
        <v>0</v>
      </c>
      <c r="DM91" s="24">
        <v>0</v>
      </c>
      <c r="DN91" s="1">
        <v>0</v>
      </c>
      <c r="DO91" s="1">
        <v>0</v>
      </c>
      <c r="DP91" s="2">
        <v>6520066.0999999996</v>
      </c>
      <c r="DQ91" s="1">
        <v>11479230.24</v>
      </c>
      <c r="DR91" s="2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2">
        <v>696954.05</v>
      </c>
      <c r="EQ91" s="1">
        <v>798084.58</v>
      </c>
      <c r="ER91" s="1">
        <v>696954.05</v>
      </c>
      <c r="ES91" s="1">
        <v>798084.58</v>
      </c>
      <c r="ET91" s="1">
        <v>0</v>
      </c>
      <c r="EU91" s="1">
        <v>0</v>
      </c>
      <c r="EV91" s="1">
        <v>8673.84</v>
      </c>
      <c r="EW91" s="1">
        <v>1407.06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383718.41</v>
      </c>
      <c r="FK91" s="1">
        <v>326445.24</v>
      </c>
      <c r="FL91" s="1">
        <v>0</v>
      </c>
      <c r="FM91" s="1">
        <v>0</v>
      </c>
      <c r="FN91" s="1">
        <v>34198.19</v>
      </c>
      <c r="FO91" s="1">
        <v>0</v>
      </c>
      <c r="FP91" s="1">
        <v>0</v>
      </c>
      <c r="FQ91" s="1">
        <v>84563.23</v>
      </c>
      <c r="FR91" s="1">
        <v>244663.57</v>
      </c>
      <c r="FS91" s="1">
        <v>369296.67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25700.04</v>
      </c>
      <c r="GA91" s="1">
        <v>16372.38</v>
      </c>
      <c r="GB91" s="1">
        <v>696954.05</v>
      </c>
      <c r="GC91" s="1">
        <v>798084.58</v>
      </c>
      <c r="GD91" s="1">
        <v>7217020.1500000004</v>
      </c>
      <c r="GE91" s="1">
        <v>12277314.82</v>
      </c>
    </row>
    <row r="92" spans="1:187" s="3" customFormat="1" ht="12" x14ac:dyDescent="0.2">
      <c r="A92" s="1">
        <v>20006</v>
      </c>
      <c r="B92" s="1">
        <v>0</v>
      </c>
      <c r="C92" s="1">
        <v>200595877</v>
      </c>
      <c r="D92" s="1" t="s">
        <v>122</v>
      </c>
      <c r="E92" s="1">
        <v>27</v>
      </c>
      <c r="F92" s="1">
        <v>16</v>
      </c>
      <c r="G92" s="1">
        <v>0</v>
      </c>
      <c r="H92" s="1">
        <v>1</v>
      </c>
      <c r="I92" s="1">
        <v>2019</v>
      </c>
      <c r="J92" s="1">
        <v>4</v>
      </c>
      <c r="K92" s="1" t="s">
        <v>0</v>
      </c>
      <c r="L92" s="1">
        <v>1</v>
      </c>
      <c r="M92" s="1">
        <v>30</v>
      </c>
      <c r="N92" s="1">
        <v>0</v>
      </c>
      <c r="O92" s="1">
        <v>43876.893159722225</v>
      </c>
      <c r="P92" s="1">
        <v>6566118.96</v>
      </c>
      <c r="Q92" s="1">
        <v>6565983.7999999998</v>
      </c>
      <c r="R92" s="1">
        <v>3117837.55</v>
      </c>
      <c r="S92" s="1">
        <v>3368444.22</v>
      </c>
      <c r="T92" s="1">
        <v>3448281.41</v>
      </c>
      <c r="U92" s="1">
        <v>3197539.58</v>
      </c>
      <c r="V92" s="1">
        <v>1948.56</v>
      </c>
      <c r="W92" s="1">
        <v>1948.56</v>
      </c>
      <c r="X92" s="1">
        <v>273.16000000000003</v>
      </c>
      <c r="Y92" s="1">
        <v>581.85</v>
      </c>
      <c r="Z92" s="1">
        <v>1675.4</v>
      </c>
      <c r="AA92" s="1">
        <v>1366.71</v>
      </c>
      <c r="AB92" s="1">
        <v>205.33</v>
      </c>
      <c r="AC92" s="1">
        <v>205.33</v>
      </c>
      <c r="AD92" s="1">
        <v>205.33</v>
      </c>
      <c r="AE92" s="1">
        <v>205.33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2">
        <v>3450162.14</v>
      </c>
      <c r="AW92" s="1">
        <v>3199111.62</v>
      </c>
      <c r="AX92" s="1">
        <v>2042345.25</v>
      </c>
      <c r="AY92" s="1">
        <v>1862462.72</v>
      </c>
      <c r="AZ92" s="1">
        <v>2042345.25</v>
      </c>
      <c r="BA92" s="1">
        <v>1862462.72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118759.5</v>
      </c>
      <c r="BI92" s="1">
        <v>5002.6099999999997</v>
      </c>
      <c r="BJ92" s="1">
        <v>0</v>
      </c>
      <c r="BK92" s="1">
        <v>0</v>
      </c>
      <c r="BL92" s="1">
        <v>608726.31999999995</v>
      </c>
      <c r="BM92" s="1">
        <v>1793026.85</v>
      </c>
      <c r="BN92" s="1">
        <v>0</v>
      </c>
      <c r="BO92" s="1">
        <v>0</v>
      </c>
      <c r="BP92" s="1">
        <v>54164.39</v>
      </c>
      <c r="BQ92" s="1">
        <v>689173.49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499684.08</v>
      </c>
      <c r="BY92" s="1">
        <v>997079.53</v>
      </c>
      <c r="BZ92" s="1">
        <v>0</v>
      </c>
      <c r="CA92" s="1">
        <v>6000.23</v>
      </c>
      <c r="CB92" s="1">
        <v>0.47</v>
      </c>
      <c r="CC92" s="1">
        <v>1933.9</v>
      </c>
      <c r="CD92" s="1">
        <v>0</v>
      </c>
      <c r="CE92" s="1">
        <v>0</v>
      </c>
      <c r="CF92" s="1">
        <v>0</v>
      </c>
      <c r="CG92" s="1">
        <v>0</v>
      </c>
      <c r="CH92" s="1">
        <v>54877.38</v>
      </c>
      <c r="CI92" s="1">
        <v>98839.7</v>
      </c>
      <c r="CJ92" s="1">
        <v>1.32</v>
      </c>
      <c r="CK92" s="1">
        <v>108439.44</v>
      </c>
      <c r="CL92" s="1">
        <v>0</v>
      </c>
      <c r="CM92" s="1">
        <v>0</v>
      </c>
      <c r="CN92" s="1">
        <v>0</v>
      </c>
      <c r="CO92" s="1">
        <v>107106.14</v>
      </c>
      <c r="CP92" s="1">
        <v>0</v>
      </c>
      <c r="CQ92" s="1">
        <v>0</v>
      </c>
      <c r="CR92" s="1">
        <v>1.32</v>
      </c>
      <c r="CS92" s="1">
        <v>1333.3</v>
      </c>
      <c r="CT92" s="1">
        <v>0</v>
      </c>
      <c r="CU92" s="1">
        <v>0</v>
      </c>
      <c r="CV92" s="1">
        <v>12330.13</v>
      </c>
      <c r="CW92" s="1">
        <v>12330.13</v>
      </c>
      <c r="CX92" s="2">
        <v>2782162.52</v>
      </c>
      <c r="CY92" s="1">
        <v>3781261.75</v>
      </c>
      <c r="CZ92" s="1">
        <v>6232324.6600000001</v>
      </c>
      <c r="DA92" s="1">
        <v>6980373.3700000001</v>
      </c>
      <c r="DB92" s="1">
        <v>677310</v>
      </c>
      <c r="DC92" s="1">
        <v>677310</v>
      </c>
      <c r="DD92" s="1">
        <v>601753.05000000005</v>
      </c>
      <c r="DE92" s="1">
        <v>601753.05000000005</v>
      </c>
      <c r="DF92" s="1">
        <v>4574681.8099999996</v>
      </c>
      <c r="DG92" s="1">
        <v>4605953.62</v>
      </c>
      <c r="DH92" s="1">
        <v>0</v>
      </c>
      <c r="DI92" s="1">
        <v>0</v>
      </c>
      <c r="DJ92" s="1">
        <v>-3155119.31</v>
      </c>
      <c r="DK92" s="1">
        <v>398402.65</v>
      </c>
      <c r="DL92" s="24">
        <v>0</v>
      </c>
      <c r="DM92" s="24">
        <v>0</v>
      </c>
      <c r="DN92" s="1">
        <v>0</v>
      </c>
      <c r="DO92" s="1">
        <v>0</v>
      </c>
      <c r="DP92" s="2">
        <v>2698625.55</v>
      </c>
      <c r="DQ92" s="1">
        <v>6283419.3200000003</v>
      </c>
      <c r="DR92" s="2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2">
        <v>3533699.11</v>
      </c>
      <c r="EQ92" s="1">
        <v>696954.05</v>
      </c>
      <c r="ER92" s="1">
        <v>3531971.11</v>
      </c>
      <c r="ES92" s="1">
        <v>696954.05</v>
      </c>
      <c r="ET92" s="1">
        <v>0</v>
      </c>
      <c r="EU92" s="1">
        <v>0</v>
      </c>
      <c r="EV92" s="1">
        <v>908460.4</v>
      </c>
      <c r="EW92" s="1">
        <v>8673.84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1717.07</v>
      </c>
      <c r="FI92" s="1">
        <v>0</v>
      </c>
      <c r="FJ92" s="1">
        <v>1056823.28</v>
      </c>
      <c r="FK92" s="1">
        <v>383718.41</v>
      </c>
      <c r="FL92" s="1">
        <v>0</v>
      </c>
      <c r="FM92" s="1">
        <v>0</v>
      </c>
      <c r="FN92" s="1">
        <v>595957.14</v>
      </c>
      <c r="FO92" s="1">
        <v>34198.19</v>
      </c>
      <c r="FP92" s="1">
        <v>0</v>
      </c>
      <c r="FQ92" s="1">
        <v>0</v>
      </c>
      <c r="FR92" s="1">
        <v>913961.13</v>
      </c>
      <c r="FS92" s="1">
        <v>244663.57</v>
      </c>
      <c r="FT92" s="1">
        <v>0</v>
      </c>
      <c r="FU92" s="1">
        <v>0</v>
      </c>
      <c r="FV92" s="1">
        <v>1728</v>
      </c>
      <c r="FW92" s="1">
        <v>0</v>
      </c>
      <c r="FX92" s="1">
        <v>0</v>
      </c>
      <c r="FY92" s="1">
        <v>0</v>
      </c>
      <c r="FZ92" s="1">
        <v>55052.09</v>
      </c>
      <c r="GA92" s="1">
        <v>25700.04</v>
      </c>
      <c r="GB92" s="1">
        <v>3533699.11</v>
      </c>
      <c r="GC92" s="1">
        <v>696954.05</v>
      </c>
      <c r="GD92" s="1">
        <v>6232324.6600000001</v>
      </c>
      <c r="GE92" s="1">
        <v>6980373.3700000001</v>
      </c>
    </row>
    <row r="93" spans="1:187" s="3" customFormat="1" x14ac:dyDescent="0.25">
      <c r="A93" s="1">
        <v>20006</v>
      </c>
      <c r="B93" s="1">
        <v>0</v>
      </c>
      <c r="C93" s="3">
        <v>200595877</v>
      </c>
      <c r="D93" s="3" t="s">
        <v>122</v>
      </c>
      <c r="E93" s="4">
        <v>27</v>
      </c>
      <c r="F93" s="4">
        <v>16</v>
      </c>
      <c r="G93" s="4">
        <v>0</v>
      </c>
      <c r="H93" s="4">
        <v>1</v>
      </c>
      <c r="I93" s="1">
        <v>2018</v>
      </c>
      <c r="J93" s="1">
        <v>4</v>
      </c>
      <c r="K93" s="3" t="s">
        <v>0</v>
      </c>
      <c r="L93" s="1">
        <v>1</v>
      </c>
      <c r="M93" s="1">
        <v>30</v>
      </c>
      <c r="N93" s="5">
        <v>0</v>
      </c>
      <c r="O93" s="6">
        <v>43507.828553240739</v>
      </c>
      <c r="P93" s="1">
        <v>6291881</v>
      </c>
      <c r="Q93" s="1">
        <v>6291764</v>
      </c>
      <c r="R93" s="1">
        <v>2759272</v>
      </c>
      <c r="S93" s="1">
        <v>3006686</v>
      </c>
      <c r="T93" s="1">
        <v>3532609</v>
      </c>
      <c r="U93" s="1">
        <v>3285078</v>
      </c>
      <c r="V93" s="1">
        <v>1375</v>
      </c>
      <c r="W93" s="1">
        <v>1949</v>
      </c>
      <c r="X93" s="1">
        <v>242</v>
      </c>
      <c r="Y93" s="1">
        <v>273</v>
      </c>
      <c r="Z93" s="1">
        <v>1133</v>
      </c>
      <c r="AA93" s="1">
        <v>1676</v>
      </c>
      <c r="AB93" s="1">
        <v>205</v>
      </c>
      <c r="AC93" s="1">
        <v>205</v>
      </c>
      <c r="AD93" s="1">
        <v>205</v>
      </c>
      <c r="AE93" s="1">
        <v>205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2">
        <v>3533947</v>
      </c>
      <c r="AW93" s="1">
        <v>3286959</v>
      </c>
      <c r="AX93" s="1">
        <v>2092362</v>
      </c>
      <c r="AY93" s="1">
        <v>2042345</v>
      </c>
      <c r="AZ93" s="1">
        <v>2092362</v>
      </c>
      <c r="BA93" s="1">
        <v>2042345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54369</v>
      </c>
      <c r="BI93" s="1">
        <v>118760</v>
      </c>
      <c r="BJ93" s="1">
        <v>0</v>
      </c>
      <c r="BK93" s="1">
        <v>0</v>
      </c>
      <c r="BL93" s="1">
        <v>39785</v>
      </c>
      <c r="BM93" s="1">
        <v>608726</v>
      </c>
      <c r="BN93" s="1">
        <v>0</v>
      </c>
      <c r="BO93" s="1">
        <v>0</v>
      </c>
      <c r="BP93" s="1">
        <v>4865</v>
      </c>
      <c r="BQ93" s="1">
        <v>54164</v>
      </c>
      <c r="BR93" s="1">
        <v>0</v>
      </c>
      <c r="BS93" s="1">
        <v>0</v>
      </c>
      <c r="BT93" s="1">
        <v>0</v>
      </c>
      <c r="BU93" s="1">
        <v>0</v>
      </c>
      <c r="BV93" s="1">
        <v>20</v>
      </c>
      <c r="BW93" s="1">
        <v>0</v>
      </c>
      <c r="BX93" s="1">
        <v>17355</v>
      </c>
      <c r="BY93" s="1">
        <v>499684</v>
      </c>
      <c r="BZ93" s="1">
        <v>13222</v>
      </c>
      <c r="CA93" s="1">
        <v>0</v>
      </c>
      <c r="CB93" s="1">
        <v>442</v>
      </c>
      <c r="CC93" s="1">
        <v>1</v>
      </c>
      <c r="CD93" s="1">
        <v>0</v>
      </c>
      <c r="CE93" s="1">
        <v>0</v>
      </c>
      <c r="CF93" s="1">
        <v>0</v>
      </c>
      <c r="CG93" s="1">
        <v>0</v>
      </c>
      <c r="CH93" s="1">
        <v>3881</v>
      </c>
      <c r="CI93" s="1">
        <v>54877</v>
      </c>
      <c r="CJ93" s="1">
        <v>4067</v>
      </c>
      <c r="CK93" s="1">
        <v>1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4067</v>
      </c>
      <c r="CS93" s="1">
        <v>1</v>
      </c>
      <c r="CT93" s="1">
        <v>0</v>
      </c>
      <c r="CU93" s="1">
        <v>0</v>
      </c>
      <c r="CV93" s="1">
        <v>12330</v>
      </c>
      <c r="CW93" s="1">
        <v>12330</v>
      </c>
      <c r="CX93" s="2">
        <v>2202913</v>
      </c>
      <c r="CY93" s="1">
        <v>2782162</v>
      </c>
      <c r="CZ93" s="1">
        <v>5736860</v>
      </c>
      <c r="DA93" s="1">
        <v>6069121</v>
      </c>
      <c r="DB93" s="1">
        <v>677310</v>
      </c>
      <c r="DC93" s="1">
        <v>677310</v>
      </c>
      <c r="DD93" s="1">
        <v>601753</v>
      </c>
      <c r="DE93" s="1">
        <v>601753</v>
      </c>
      <c r="DF93" s="1">
        <v>4381316</v>
      </c>
      <c r="DG93" s="1">
        <v>4411478</v>
      </c>
      <c r="DH93" s="1">
        <v>0</v>
      </c>
      <c r="DI93" s="1">
        <v>0</v>
      </c>
      <c r="DJ93" s="1">
        <v>-3356669</v>
      </c>
      <c r="DK93" s="1">
        <v>-3155119</v>
      </c>
      <c r="DL93" s="24">
        <v>0</v>
      </c>
      <c r="DM93" s="24">
        <v>0</v>
      </c>
      <c r="DN93" s="1">
        <v>0</v>
      </c>
      <c r="DO93" s="1">
        <v>0</v>
      </c>
      <c r="DP93" s="2">
        <v>2303710</v>
      </c>
      <c r="DQ93" s="1">
        <v>2535422</v>
      </c>
      <c r="DR93" s="2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2">
        <v>3433150</v>
      </c>
      <c r="EQ93" s="1">
        <v>3533699</v>
      </c>
      <c r="ER93" s="1">
        <v>3431422</v>
      </c>
      <c r="ES93" s="1">
        <v>3531971</v>
      </c>
      <c r="ET93" s="1">
        <v>0</v>
      </c>
      <c r="EU93" s="1">
        <v>0</v>
      </c>
      <c r="EV93" s="1">
        <v>1881561</v>
      </c>
      <c r="EW93" s="1">
        <v>908461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932773</v>
      </c>
      <c r="FI93" s="1">
        <v>1717</v>
      </c>
      <c r="FJ93" s="1">
        <v>180195</v>
      </c>
      <c r="FK93" s="1">
        <v>1056823</v>
      </c>
      <c r="FL93" s="1">
        <v>0</v>
      </c>
      <c r="FM93" s="1">
        <v>0</v>
      </c>
      <c r="FN93" s="1">
        <v>156022</v>
      </c>
      <c r="FO93" s="1">
        <v>595957</v>
      </c>
      <c r="FP93" s="1">
        <v>0</v>
      </c>
      <c r="FQ93" s="1">
        <v>0</v>
      </c>
      <c r="FR93" s="1">
        <v>267262</v>
      </c>
      <c r="FS93" s="1">
        <v>913961</v>
      </c>
      <c r="FT93" s="1">
        <v>0</v>
      </c>
      <c r="FU93" s="1">
        <v>0</v>
      </c>
      <c r="FV93" s="1">
        <v>1728</v>
      </c>
      <c r="FW93" s="1">
        <v>1728</v>
      </c>
      <c r="FX93" s="1">
        <v>0</v>
      </c>
      <c r="FY93" s="1">
        <v>0</v>
      </c>
      <c r="FZ93" s="1">
        <v>13609</v>
      </c>
      <c r="GA93" s="1">
        <v>55052</v>
      </c>
      <c r="GB93" s="1">
        <v>3433150</v>
      </c>
      <c r="GC93" s="1">
        <v>3533699</v>
      </c>
      <c r="GD93" s="1">
        <v>5736860</v>
      </c>
      <c r="GE93" s="1">
        <v>6069121</v>
      </c>
    </row>
    <row r="94" spans="1:187" s="3" customFormat="1" ht="12" x14ac:dyDescent="0.2">
      <c r="A94" s="1">
        <v>20006</v>
      </c>
      <c r="B94" s="1">
        <v>0</v>
      </c>
      <c r="C94" s="1">
        <v>200607109</v>
      </c>
      <c r="D94" s="1" t="s">
        <v>139</v>
      </c>
      <c r="E94" s="1">
        <v>27</v>
      </c>
      <c r="F94" s="1">
        <v>6</v>
      </c>
      <c r="G94" s="1">
        <v>0</v>
      </c>
      <c r="H94" s="1">
        <v>1</v>
      </c>
      <c r="I94" s="1">
        <v>2021</v>
      </c>
      <c r="J94" s="1">
        <v>4</v>
      </c>
      <c r="K94" s="1" t="s">
        <v>0</v>
      </c>
      <c r="L94" s="1">
        <v>1</v>
      </c>
      <c r="M94" s="1">
        <v>30</v>
      </c>
      <c r="N94" s="1">
        <v>0</v>
      </c>
      <c r="O94" s="1">
        <v>44607.758414351854</v>
      </c>
      <c r="P94" s="1">
        <v>5151976</v>
      </c>
      <c r="Q94" s="1">
        <v>5146852.5999999996</v>
      </c>
      <c r="R94" s="1">
        <v>4646746</v>
      </c>
      <c r="S94" s="1">
        <v>4783810.0999999996</v>
      </c>
      <c r="T94" s="1">
        <v>505230</v>
      </c>
      <c r="U94" s="1">
        <v>363042.5</v>
      </c>
      <c r="V94" s="1"/>
      <c r="W94" s="1"/>
      <c r="X94" s="1"/>
      <c r="Y94" s="1"/>
      <c r="Z94" s="1"/>
      <c r="AA94" s="1"/>
      <c r="AB94" s="1">
        <v>5052</v>
      </c>
      <c r="AC94" s="1">
        <v>5051.7</v>
      </c>
      <c r="AD94" s="1">
        <v>5052</v>
      </c>
      <c r="AE94" s="1">
        <v>5051.7</v>
      </c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>
        <v>169904</v>
      </c>
      <c r="AU94" s="1">
        <v>157903.70000000001</v>
      </c>
      <c r="AV94" s="2">
        <v>680186</v>
      </c>
      <c r="AW94" s="1">
        <v>525997.9</v>
      </c>
      <c r="AX94" s="1">
        <v>2513448</v>
      </c>
      <c r="AY94" s="1">
        <v>2659169.7000000002</v>
      </c>
      <c r="AZ94" s="1">
        <v>754829</v>
      </c>
      <c r="BA94" s="1">
        <v>764123.5</v>
      </c>
      <c r="BB94" s="1"/>
      <c r="BC94" s="1"/>
      <c r="BD94" s="1">
        <v>1758619</v>
      </c>
      <c r="BE94" s="1">
        <v>1895046.2</v>
      </c>
      <c r="BF94" s="1"/>
      <c r="BG94" s="1"/>
      <c r="BH94" s="1">
        <v>9007</v>
      </c>
      <c r="BI94" s="1">
        <v>8919.2000000000007</v>
      </c>
      <c r="BJ94" s="1"/>
      <c r="BK94" s="1"/>
      <c r="BL94" s="1">
        <v>268553</v>
      </c>
      <c r="BM94" s="1">
        <v>174320.7</v>
      </c>
      <c r="BN94" s="1"/>
      <c r="BO94" s="1"/>
      <c r="BP94" s="1">
        <v>157761</v>
      </c>
      <c r="BQ94" s="1">
        <v>81628</v>
      </c>
      <c r="BR94" s="1"/>
      <c r="BS94" s="1"/>
      <c r="BT94" s="1"/>
      <c r="BU94" s="1"/>
      <c r="BV94" s="1"/>
      <c r="BW94" s="1">
        <v>1150</v>
      </c>
      <c r="BX94" s="1">
        <v>12239</v>
      </c>
      <c r="BY94" s="1">
        <v>53383.9</v>
      </c>
      <c r="BZ94" s="1">
        <v>60206</v>
      </c>
      <c r="CA94" s="1">
        <v>26590.400000000001</v>
      </c>
      <c r="CB94" s="1">
        <v>27591</v>
      </c>
      <c r="CC94" s="1">
        <v>6810.5</v>
      </c>
      <c r="CD94" s="1"/>
      <c r="CE94" s="1"/>
      <c r="CF94" s="1">
        <v>7295</v>
      </c>
      <c r="CG94" s="1"/>
      <c r="CH94" s="1">
        <v>3461</v>
      </c>
      <c r="CI94" s="1">
        <v>4757.8999999999996</v>
      </c>
      <c r="CJ94" s="1">
        <v>5213</v>
      </c>
      <c r="CK94" s="1">
        <v>5397.7</v>
      </c>
      <c r="CL94" s="1"/>
      <c r="CM94" s="1"/>
      <c r="CN94" s="1">
        <v>4072</v>
      </c>
      <c r="CO94" s="1">
        <v>2550.8000000000002</v>
      </c>
      <c r="CP94" s="1">
        <v>916</v>
      </c>
      <c r="CQ94" s="1">
        <v>948</v>
      </c>
      <c r="CR94" s="1">
        <v>225</v>
      </c>
      <c r="CS94" s="1">
        <v>1898.9</v>
      </c>
      <c r="CT94" s="1"/>
      <c r="CU94" s="1"/>
      <c r="CV94" s="1"/>
      <c r="CW94" s="1"/>
      <c r="CX94" s="2">
        <v>2796221</v>
      </c>
      <c r="CY94" s="1">
        <v>2847807.3</v>
      </c>
      <c r="CZ94" s="1">
        <v>3476407</v>
      </c>
      <c r="DA94" s="1">
        <v>3373805.2</v>
      </c>
      <c r="DB94" s="1">
        <v>1280769</v>
      </c>
      <c r="DC94" s="1">
        <v>1280769</v>
      </c>
      <c r="DD94" s="1">
        <v>19503</v>
      </c>
      <c r="DE94" s="1">
        <v>19502.599999999999</v>
      </c>
      <c r="DF94" s="1">
        <v>932831</v>
      </c>
      <c r="DG94" s="1">
        <v>932764.6</v>
      </c>
      <c r="DH94" s="1"/>
      <c r="DI94" s="1"/>
      <c r="DJ94" s="1">
        <v>385287</v>
      </c>
      <c r="DK94" s="1">
        <v>-112814.1</v>
      </c>
      <c r="DL94" s="24"/>
      <c r="DM94" s="24"/>
      <c r="DN94" s="1"/>
      <c r="DO94" s="1"/>
      <c r="DP94" s="2">
        <v>2618390</v>
      </c>
      <c r="DQ94" s="1">
        <v>2120222.1</v>
      </c>
      <c r="DR94" s="2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2">
        <v>858017</v>
      </c>
      <c r="EQ94" s="1">
        <v>1253583.1000000001</v>
      </c>
      <c r="ER94" s="1">
        <v>858017</v>
      </c>
      <c r="ES94" s="1">
        <v>986583.1</v>
      </c>
      <c r="ET94" s="1"/>
      <c r="EU94" s="1"/>
      <c r="EV94" s="1">
        <v>289146</v>
      </c>
      <c r="EW94" s="1">
        <v>294020.09999999998</v>
      </c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>
        <v>220550</v>
      </c>
      <c r="FI94" s="1">
        <v>451364.7</v>
      </c>
      <c r="FJ94" s="1">
        <v>83021</v>
      </c>
      <c r="FK94" s="1">
        <v>51638.400000000001</v>
      </c>
      <c r="FL94" s="1"/>
      <c r="FM94" s="1"/>
      <c r="FN94" s="1">
        <v>4140</v>
      </c>
      <c r="FO94" s="1">
        <v>4207.3999999999996</v>
      </c>
      <c r="FP94" s="1">
        <v>52605</v>
      </c>
      <c r="FQ94" s="1">
        <v>24295.200000000001</v>
      </c>
      <c r="FR94" s="1">
        <v>206310</v>
      </c>
      <c r="FS94" s="1">
        <v>157810.9</v>
      </c>
      <c r="FT94" s="1"/>
      <c r="FU94" s="1"/>
      <c r="FV94" s="1"/>
      <c r="FW94" s="1">
        <v>267000</v>
      </c>
      <c r="FX94" s="1"/>
      <c r="FY94" s="1"/>
      <c r="FZ94" s="1">
        <v>2245</v>
      </c>
      <c r="GA94" s="1">
        <v>3246.4</v>
      </c>
      <c r="GB94" s="1">
        <v>858017</v>
      </c>
      <c r="GC94" s="1">
        <v>1253583.1000000001</v>
      </c>
      <c r="GD94" s="1">
        <v>3476407</v>
      </c>
      <c r="GE94" s="1">
        <v>3373805.2</v>
      </c>
    </row>
    <row r="95" spans="1:187" s="3" customFormat="1" ht="12" x14ac:dyDescent="0.2">
      <c r="A95" s="1">
        <v>20006</v>
      </c>
      <c r="B95" s="1">
        <v>0</v>
      </c>
      <c r="C95" s="1">
        <v>200607109</v>
      </c>
      <c r="D95" s="1" t="s">
        <v>139</v>
      </c>
      <c r="E95" s="1">
        <v>27</v>
      </c>
      <c r="F95" s="1">
        <v>6</v>
      </c>
      <c r="G95" s="1">
        <v>0</v>
      </c>
      <c r="H95" s="1">
        <v>1</v>
      </c>
      <c r="I95" s="1">
        <v>2020</v>
      </c>
      <c r="J95" s="1">
        <v>4</v>
      </c>
      <c r="K95" s="1" t="s">
        <v>0</v>
      </c>
      <c r="L95" s="1">
        <v>1</v>
      </c>
      <c r="M95" s="1">
        <v>30</v>
      </c>
      <c r="N95" s="1">
        <v>0</v>
      </c>
      <c r="O95" s="1">
        <v>44239.646666666667</v>
      </c>
      <c r="P95" s="1">
        <v>5080203</v>
      </c>
      <c r="Q95" s="1">
        <v>5151976</v>
      </c>
      <c r="R95" s="1">
        <v>4493206</v>
      </c>
      <c r="S95" s="1">
        <v>4646746</v>
      </c>
      <c r="T95" s="1">
        <v>586997</v>
      </c>
      <c r="U95" s="1">
        <v>505230</v>
      </c>
      <c r="V95" s="1"/>
      <c r="W95" s="1"/>
      <c r="X95" s="1"/>
      <c r="Y95" s="1"/>
      <c r="Z95" s="1"/>
      <c r="AA95" s="1"/>
      <c r="AB95" s="1">
        <v>5052</v>
      </c>
      <c r="AC95" s="1">
        <v>5052</v>
      </c>
      <c r="AD95" s="1">
        <v>5052</v>
      </c>
      <c r="AE95" s="1">
        <v>5052</v>
      </c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>
        <v>30608</v>
      </c>
      <c r="AQ95" s="1"/>
      <c r="AR95" s="1"/>
      <c r="AS95" s="1"/>
      <c r="AT95" s="1"/>
      <c r="AU95" s="1">
        <v>169904</v>
      </c>
      <c r="AV95" s="2">
        <v>622657</v>
      </c>
      <c r="AW95" s="1">
        <v>680186</v>
      </c>
      <c r="AX95" s="1">
        <v>3055134</v>
      </c>
      <c r="AY95" s="1">
        <v>2513448</v>
      </c>
      <c r="AZ95" s="1">
        <v>1037906</v>
      </c>
      <c r="BA95" s="1">
        <v>754829</v>
      </c>
      <c r="BB95" s="1"/>
      <c r="BC95" s="1"/>
      <c r="BD95" s="1">
        <v>2017228</v>
      </c>
      <c r="BE95" s="1">
        <v>1758619</v>
      </c>
      <c r="BF95" s="1"/>
      <c r="BG95" s="1"/>
      <c r="BH95" s="1">
        <v>4168</v>
      </c>
      <c r="BI95" s="1">
        <v>9007</v>
      </c>
      <c r="BJ95" s="1"/>
      <c r="BK95" s="1"/>
      <c r="BL95" s="1">
        <v>348498</v>
      </c>
      <c r="BM95" s="1">
        <v>268553</v>
      </c>
      <c r="BN95" s="1"/>
      <c r="BO95" s="1"/>
      <c r="BP95" s="1">
        <v>77408</v>
      </c>
      <c r="BQ95" s="1">
        <v>157761</v>
      </c>
      <c r="BR95" s="1"/>
      <c r="BS95" s="1"/>
      <c r="BT95" s="1"/>
      <c r="BU95" s="1"/>
      <c r="BV95" s="1"/>
      <c r="BW95" s="1"/>
      <c r="BX95" s="1">
        <v>159619</v>
      </c>
      <c r="BY95" s="1">
        <v>12239</v>
      </c>
      <c r="BZ95" s="1">
        <v>73901</v>
      </c>
      <c r="CA95" s="1">
        <v>60206</v>
      </c>
      <c r="CB95" s="1">
        <v>218</v>
      </c>
      <c r="CC95" s="1">
        <v>27591</v>
      </c>
      <c r="CD95" s="1"/>
      <c r="CE95" s="1"/>
      <c r="CF95" s="1">
        <v>3174</v>
      </c>
      <c r="CG95" s="1">
        <v>7295</v>
      </c>
      <c r="CH95" s="1">
        <v>34178</v>
      </c>
      <c r="CI95" s="1">
        <v>3461</v>
      </c>
      <c r="CJ95" s="1">
        <v>678446</v>
      </c>
      <c r="CK95" s="1">
        <v>5213</v>
      </c>
      <c r="CL95" s="1"/>
      <c r="CM95" s="1"/>
      <c r="CN95" s="1">
        <v>391541</v>
      </c>
      <c r="CO95" s="1">
        <v>4072</v>
      </c>
      <c r="CP95" s="1">
        <v>286058</v>
      </c>
      <c r="CQ95" s="1">
        <v>916</v>
      </c>
      <c r="CR95" s="1">
        <v>847</v>
      </c>
      <c r="CS95" s="1">
        <v>225</v>
      </c>
      <c r="CT95" s="1"/>
      <c r="CU95" s="1"/>
      <c r="CV95" s="1"/>
      <c r="CW95" s="1"/>
      <c r="CX95" s="2">
        <v>4086246</v>
      </c>
      <c r="CY95" s="1">
        <v>2796221</v>
      </c>
      <c r="CZ95" s="1">
        <v>4708903</v>
      </c>
      <c r="DA95" s="1">
        <v>3476407</v>
      </c>
      <c r="DB95" s="1">
        <v>1280769</v>
      </c>
      <c r="DC95" s="1">
        <v>1280769</v>
      </c>
      <c r="DD95" s="1">
        <v>19503</v>
      </c>
      <c r="DE95" s="1">
        <v>19503</v>
      </c>
      <c r="DF95" s="1">
        <v>894929</v>
      </c>
      <c r="DG95" s="1">
        <v>932831</v>
      </c>
      <c r="DH95" s="1"/>
      <c r="DI95" s="1"/>
      <c r="DJ95" s="1">
        <v>882490</v>
      </c>
      <c r="DK95" s="1">
        <v>385287</v>
      </c>
      <c r="DL95" s="24"/>
      <c r="DM95" s="24"/>
      <c r="DN95" s="1"/>
      <c r="DO95" s="1"/>
      <c r="DP95" s="2">
        <v>3077691</v>
      </c>
      <c r="DQ95" s="1">
        <v>2618390</v>
      </c>
      <c r="DR95" s="2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2">
        <v>1631212</v>
      </c>
      <c r="EQ95" s="1">
        <v>858017</v>
      </c>
      <c r="ER95" s="1">
        <v>1631212</v>
      </c>
      <c r="ES95" s="1">
        <v>858017</v>
      </c>
      <c r="ET95" s="1"/>
      <c r="EU95" s="1"/>
      <c r="EV95" s="1">
        <v>38359</v>
      </c>
      <c r="EW95" s="1">
        <v>289146</v>
      </c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>
        <v>491392</v>
      </c>
      <c r="FI95" s="1">
        <v>220550</v>
      </c>
      <c r="FJ95" s="1">
        <v>129966</v>
      </c>
      <c r="FK95" s="1">
        <v>83021</v>
      </c>
      <c r="FL95" s="1"/>
      <c r="FM95" s="1"/>
      <c r="FN95" s="1">
        <v>105803</v>
      </c>
      <c r="FO95" s="1">
        <v>4140</v>
      </c>
      <c r="FP95" s="1">
        <v>33050</v>
      </c>
      <c r="FQ95" s="1">
        <v>52605</v>
      </c>
      <c r="FR95" s="1">
        <v>823841</v>
      </c>
      <c r="FS95" s="1">
        <v>206310</v>
      </c>
      <c r="FT95" s="1"/>
      <c r="FU95" s="1"/>
      <c r="FV95" s="1"/>
      <c r="FW95" s="1"/>
      <c r="FX95" s="1"/>
      <c r="FY95" s="1"/>
      <c r="FZ95" s="1">
        <v>8801</v>
      </c>
      <c r="GA95" s="1">
        <v>2245</v>
      </c>
      <c r="GB95" s="1">
        <v>1631212</v>
      </c>
      <c r="GC95" s="1">
        <v>858017</v>
      </c>
      <c r="GD95" s="1">
        <v>4708903</v>
      </c>
      <c r="GE95" s="1">
        <v>3476407</v>
      </c>
    </row>
    <row r="96" spans="1:187" s="3" customFormat="1" ht="12" x14ac:dyDescent="0.2">
      <c r="A96" s="1">
        <v>20006</v>
      </c>
      <c r="B96" s="1">
        <v>0</v>
      </c>
      <c r="C96" s="1">
        <v>200607109</v>
      </c>
      <c r="D96" s="1" t="s">
        <v>139</v>
      </c>
      <c r="E96" s="1">
        <v>27</v>
      </c>
      <c r="F96" s="1">
        <v>6</v>
      </c>
      <c r="G96" s="1">
        <v>0</v>
      </c>
      <c r="H96" s="1">
        <v>1</v>
      </c>
      <c r="I96" s="1">
        <v>2019</v>
      </c>
      <c r="J96" s="1">
        <v>4</v>
      </c>
      <c r="K96" s="1" t="s">
        <v>0</v>
      </c>
      <c r="L96" s="1">
        <v>1</v>
      </c>
      <c r="M96" s="1">
        <v>30</v>
      </c>
      <c r="N96" s="1">
        <v>0</v>
      </c>
      <c r="O96" s="1">
        <v>43866.420590277776</v>
      </c>
      <c r="P96" s="1">
        <v>4340442</v>
      </c>
      <c r="Q96" s="1">
        <v>4667639</v>
      </c>
      <c r="R96" s="1">
        <v>3926349</v>
      </c>
      <c r="S96" s="1">
        <v>4125381</v>
      </c>
      <c r="T96" s="1">
        <v>414093</v>
      </c>
      <c r="U96" s="1">
        <v>542258</v>
      </c>
      <c r="V96" s="1"/>
      <c r="W96" s="1"/>
      <c r="X96" s="1"/>
      <c r="Y96" s="1"/>
      <c r="Z96" s="1"/>
      <c r="AA96" s="1"/>
      <c r="AB96" s="1">
        <v>5052</v>
      </c>
      <c r="AC96" s="1">
        <v>5052</v>
      </c>
      <c r="AD96" s="1">
        <v>5052</v>
      </c>
      <c r="AE96" s="1">
        <v>5052</v>
      </c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>
        <v>30608</v>
      </c>
      <c r="AR96" s="1"/>
      <c r="AS96" s="1"/>
      <c r="AT96" s="1"/>
      <c r="AU96" s="1"/>
      <c r="AV96" s="2">
        <v>419145</v>
      </c>
      <c r="AW96" s="1">
        <v>577918</v>
      </c>
      <c r="AX96" s="1">
        <v>2654661</v>
      </c>
      <c r="AY96" s="1">
        <v>3055134</v>
      </c>
      <c r="AZ96" s="1">
        <v>780715</v>
      </c>
      <c r="BA96" s="1">
        <v>1037906</v>
      </c>
      <c r="BB96" s="1"/>
      <c r="BC96" s="1"/>
      <c r="BD96" s="1">
        <v>1873946</v>
      </c>
      <c r="BE96" s="1">
        <v>2017228</v>
      </c>
      <c r="BF96" s="1"/>
      <c r="BG96" s="1"/>
      <c r="BH96" s="1">
        <v>1628</v>
      </c>
      <c r="BI96" s="1">
        <v>4168</v>
      </c>
      <c r="BJ96" s="1"/>
      <c r="BK96" s="1"/>
      <c r="BL96" s="1">
        <v>907397</v>
      </c>
      <c r="BM96" s="1">
        <v>348498</v>
      </c>
      <c r="BN96" s="1"/>
      <c r="BO96" s="1"/>
      <c r="BP96" s="1">
        <v>198134</v>
      </c>
      <c r="BQ96" s="1">
        <v>77408</v>
      </c>
      <c r="BR96" s="1"/>
      <c r="BS96" s="1"/>
      <c r="BT96" s="1"/>
      <c r="BU96" s="1"/>
      <c r="BV96" s="1"/>
      <c r="BW96" s="1"/>
      <c r="BX96" s="1">
        <v>695944</v>
      </c>
      <c r="BY96" s="1">
        <v>159619</v>
      </c>
      <c r="BZ96" s="1">
        <v>203</v>
      </c>
      <c r="CA96" s="1">
        <v>73901</v>
      </c>
      <c r="CB96" s="1"/>
      <c r="CC96" s="1">
        <v>218</v>
      </c>
      <c r="CD96" s="1"/>
      <c r="CE96" s="1"/>
      <c r="CF96" s="1"/>
      <c r="CG96" s="1">
        <v>3174</v>
      </c>
      <c r="CH96" s="1">
        <v>13116</v>
      </c>
      <c r="CI96" s="1">
        <v>34178</v>
      </c>
      <c r="CJ96" s="1">
        <v>135424</v>
      </c>
      <c r="CK96" s="1">
        <v>678446</v>
      </c>
      <c r="CL96" s="1"/>
      <c r="CM96" s="1"/>
      <c r="CN96" s="1">
        <v>132123</v>
      </c>
      <c r="CO96" s="1">
        <v>391541</v>
      </c>
      <c r="CP96" s="1">
        <v>1530</v>
      </c>
      <c r="CQ96" s="1">
        <v>286058</v>
      </c>
      <c r="CR96" s="1">
        <v>1771</v>
      </c>
      <c r="CS96" s="1">
        <v>847</v>
      </c>
      <c r="CT96" s="1"/>
      <c r="CU96" s="1"/>
      <c r="CV96" s="1"/>
      <c r="CW96" s="1"/>
      <c r="CX96" s="2">
        <v>3699110</v>
      </c>
      <c r="CY96" s="1">
        <v>4086246</v>
      </c>
      <c r="CZ96" s="1">
        <v>4118255</v>
      </c>
      <c r="DA96" s="1">
        <v>4664164</v>
      </c>
      <c r="DB96" s="1">
        <v>1280769</v>
      </c>
      <c r="DC96" s="1">
        <v>1280769</v>
      </c>
      <c r="DD96" s="1">
        <v>19503</v>
      </c>
      <c r="DE96" s="1">
        <v>19503</v>
      </c>
      <c r="DF96" s="1">
        <v>826365</v>
      </c>
      <c r="DG96" s="1">
        <v>850190</v>
      </c>
      <c r="DH96" s="1"/>
      <c r="DI96" s="1"/>
      <c r="DJ96" s="1">
        <v>478434</v>
      </c>
      <c r="DK96" s="1">
        <v>882490</v>
      </c>
      <c r="DL96" s="24"/>
      <c r="DM96" s="24"/>
      <c r="DN96" s="1"/>
      <c r="DO96" s="1"/>
      <c r="DP96" s="2">
        <v>2605071</v>
      </c>
      <c r="DQ96" s="1">
        <v>3032952</v>
      </c>
      <c r="DR96" s="2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2">
        <v>1513184</v>
      </c>
      <c r="EQ96" s="1">
        <v>1631212</v>
      </c>
      <c r="ER96" s="1">
        <v>1513184</v>
      </c>
      <c r="ES96" s="1">
        <v>1631212</v>
      </c>
      <c r="ET96" s="1"/>
      <c r="EU96" s="1"/>
      <c r="EV96" s="1">
        <v>46343</v>
      </c>
      <c r="EW96" s="1">
        <v>38359</v>
      </c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>
        <v>746226</v>
      </c>
      <c r="FI96" s="1">
        <v>491392</v>
      </c>
      <c r="FJ96" s="1">
        <v>170741</v>
      </c>
      <c r="FK96" s="1">
        <v>129966</v>
      </c>
      <c r="FL96" s="1"/>
      <c r="FM96" s="1"/>
      <c r="FN96" s="1">
        <v>125527</v>
      </c>
      <c r="FO96" s="1">
        <v>105803</v>
      </c>
      <c r="FP96" s="1">
        <v>26772</v>
      </c>
      <c r="FQ96" s="1">
        <v>33050</v>
      </c>
      <c r="FR96" s="1">
        <v>393287</v>
      </c>
      <c r="FS96" s="1">
        <v>823841</v>
      </c>
      <c r="FT96" s="1"/>
      <c r="FU96" s="1"/>
      <c r="FV96" s="1"/>
      <c r="FW96" s="1"/>
      <c r="FX96" s="1"/>
      <c r="FY96" s="1"/>
      <c r="FZ96" s="1">
        <v>4288</v>
      </c>
      <c r="GA96" s="1">
        <v>8801</v>
      </c>
      <c r="GB96" s="1">
        <v>1513184</v>
      </c>
      <c r="GC96" s="1">
        <v>1631212</v>
      </c>
      <c r="GD96" s="1">
        <v>4118255</v>
      </c>
      <c r="GE96" s="1">
        <v>4664164</v>
      </c>
    </row>
    <row r="97" spans="1:187" s="3" customFormat="1" x14ac:dyDescent="0.25">
      <c r="A97" s="1">
        <v>20006</v>
      </c>
      <c r="B97" s="1">
        <v>0</v>
      </c>
      <c r="C97" s="3">
        <v>200607109</v>
      </c>
      <c r="D97" s="3" t="s">
        <v>139</v>
      </c>
      <c r="E97" s="4">
        <v>27</v>
      </c>
      <c r="F97" s="4">
        <v>6</v>
      </c>
      <c r="G97" s="4">
        <v>0</v>
      </c>
      <c r="H97" s="4">
        <v>1</v>
      </c>
      <c r="I97" s="1">
        <v>2018</v>
      </c>
      <c r="J97" s="1">
        <v>4</v>
      </c>
      <c r="K97" s="3" t="s">
        <v>0</v>
      </c>
      <c r="L97" s="1">
        <v>1</v>
      </c>
      <c r="M97" s="1">
        <v>30</v>
      </c>
      <c r="N97" s="5">
        <v>0</v>
      </c>
      <c r="O97" s="6">
        <v>43508.473460648151</v>
      </c>
      <c r="P97" s="1">
        <v>4175146</v>
      </c>
      <c r="Q97" s="1">
        <v>4163402</v>
      </c>
      <c r="R97" s="1">
        <v>3492637</v>
      </c>
      <c r="S97" s="1">
        <v>3772824</v>
      </c>
      <c r="T97" s="1">
        <v>682509</v>
      </c>
      <c r="U97" s="1">
        <v>390578</v>
      </c>
      <c r="V97" s="1"/>
      <c r="W97" s="1"/>
      <c r="X97" s="1"/>
      <c r="Y97" s="1"/>
      <c r="Z97" s="1"/>
      <c r="AA97" s="1"/>
      <c r="AB97" s="1">
        <v>5052</v>
      </c>
      <c r="AC97" s="1">
        <v>5052</v>
      </c>
      <c r="AD97" s="1">
        <v>5052</v>
      </c>
      <c r="AE97" s="1">
        <v>5052</v>
      </c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2">
        <v>687561</v>
      </c>
      <c r="AW97" s="1">
        <v>395630</v>
      </c>
      <c r="AX97" s="1">
        <v>1821729</v>
      </c>
      <c r="AY97" s="1">
        <v>2654661</v>
      </c>
      <c r="AZ97" s="1">
        <v>637774</v>
      </c>
      <c r="BA97" s="1">
        <v>780715</v>
      </c>
      <c r="BB97" s="1"/>
      <c r="BC97" s="1"/>
      <c r="BD97" s="1">
        <v>1183955</v>
      </c>
      <c r="BE97" s="1">
        <v>1873946</v>
      </c>
      <c r="BF97" s="1"/>
      <c r="BG97" s="1"/>
      <c r="BH97" s="1">
        <v>7868</v>
      </c>
      <c r="BI97" s="1">
        <v>1628</v>
      </c>
      <c r="BJ97" s="1">
        <v>131807</v>
      </c>
      <c r="BK97" s="1"/>
      <c r="BL97" s="1">
        <v>1028236</v>
      </c>
      <c r="BM97" s="1">
        <v>907397</v>
      </c>
      <c r="BN97" s="1"/>
      <c r="BO97" s="1"/>
      <c r="BP97" s="1">
        <v>654069</v>
      </c>
      <c r="BQ97" s="1">
        <v>198134</v>
      </c>
      <c r="BR97" s="1"/>
      <c r="BS97" s="1"/>
      <c r="BT97" s="1"/>
      <c r="BU97" s="1"/>
      <c r="BV97" s="1"/>
      <c r="BW97" s="1"/>
      <c r="BX97" s="1">
        <v>356700</v>
      </c>
      <c r="BY97" s="1">
        <v>695944</v>
      </c>
      <c r="BZ97" s="1">
        <v>371</v>
      </c>
      <c r="CA97" s="1">
        <v>203</v>
      </c>
      <c r="CB97" s="1">
        <v>5518</v>
      </c>
      <c r="CC97" s="1"/>
      <c r="CD97" s="1"/>
      <c r="CE97" s="1"/>
      <c r="CF97" s="1">
        <v>2719</v>
      </c>
      <c r="CG97" s="1"/>
      <c r="CH97" s="1">
        <v>8859</v>
      </c>
      <c r="CI97" s="1">
        <v>13116</v>
      </c>
      <c r="CJ97" s="1">
        <v>6069</v>
      </c>
      <c r="CK97" s="1">
        <v>135424</v>
      </c>
      <c r="CL97" s="1"/>
      <c r="CM97" s="1"/>
      <c r="CN97" s="1">
        <v>2443</v>
      </c>
      <c r="CO97" s="1">
        <v>132123</v>
      </c>
      <c r="CP97" s="1">
        <v>1490</v>
      </c>
      <c r="CQ97" s="1">
        <v>1530</v>
      </c>
      <c r="CR97" s="1">
        <v>2136</v>
      </c>
      <c r="CS97" s="1">
        <v>1771</v>
      </c>
      <c r="CT97" s="1"/>
      <c r="CU97" s="1"/>
      <c r="CV97" s="1"/>
      <c r="CW97" s="1"/>
      <c r="CX97" s="2">
        <v>2995709</v>
      </c>
      <c r="CY97" s="1">
        <v>3699110</v>
      </c>
      <c r="CZ97" s="1">
        <v>3683270</v>
      </c>
      <c r="DA97" s="1">
        <v>4094740</v>
      </c>
      <c r="DB97" s="1">
        <v>1280769</v>
      </c>
      <c r="DC97" s="1">
        <v>1280769</v>
      </c>
      <c r="DD97" s="1">
        <v>19503</v>
      </c>
      <c r="DE97" s="1">
        <v>19503</v>
      </c>
      <c r="DF97" s="1">
        <v>804483</v>
      </c>
      <c r="DG97" s="1">
        <v>802850</v>
      </c>
      <c r="DH97" s="1"/>
      <c r="DI97" s="1"/>
      <c r="DJ97" s="1">
        <v>1783</v>
      </c>
      <c r="DK97" s="1">
        <v>478434</v>
      </c>
      <c r="DL97" s="24"/>
      <c r="DM97" s="24"/>
      <c r="DN97" s="1"/>
      <c r="DO97" s="1"/>
      <c r="DP97" s="2">
        <v>2106538</v>
      </c>
      <c r="DQ97" s="1">
        <v>2581556</v>
      </c>
      <c r="DR97" s="2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2">
        <v>1576732</v>
      </c>
      <c r="EQ97" s="1">
        <v>1513184</v>
      </c>
      <c r="ER97" s="1">
        <v>1576732</v>
      </c>
      <c r="ES97" s="1">
        <v>1513184</v>
      </c>
      <c r="ET97" s="1"/>
      <c r="EU97" s="1"/>
      <c r="EV97" s="1">
        <v>244902</v>
      </c>
      <c r="EW97" s="1">
        <v>46343</v>
      </c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>
        <v>661671</v>
      </c>
      <c r="FI97" s="1">
        <v>746226</v>
      </c>
      <c r="FJ97" s="1">
        <v>164386</v>
      </c>
      <c r="FK97" s="1">
        <v>170741</v>
      </c>
      <c r="FL97" s="1"/>
      <c r="FM97" s="1"/>
      <c r="FN97" s="1">
        <v>15406</v>
      </c>
      <c r="FO97" s="1">
        <v>125527</v>
      </c>
      <c r="FP97" s="1">
        <v>191055</v>
      </c>
      <c r="FQ97" s="1">
        <v>26772</v>
      </c>
      <c r="FR97" s="1">
        <v>298287</v>
      </c>
      <c r="FS97" s="1">
        <v>393287</v>
      </c>
      <c r="FT97" s="1"/>
      <c r="FU97" s="1"/>
      <c r="FV97" s="1"/>
      <c r="FW97" s="1"/>
      <c r="FX97" s="1"/>
      <c r="FY97" s="1"/>
      <c r="FZ97" s="1">
        <v>1025</v>
      </c>
      <c r="GA97" s="1">
        <v>4288</v>
      </c>
      <c r="GB97" s="1">
        <v>1576732</v>
      </c>
      <c r="GC97" s="1">
        <v>1513184</v>
      </c>
      <c r="GD97" s="1">
        <v>3683270</v>
      </c>
      <c r="GE97" s="1">
        <v>4094740</v>
      </c>
    </row>
    <row r="98" spans="1:187" s="3" customFormat="1" ht="12" x14ac:dyDescent="0.2">
      <c r="A98" s="1">
        <v>20006</v>
      </c>
      <c r="B98" s="1">
        <v>0</v>
      </c>
      <c r="C98" s="1">
        <v>200663071</v>
      </c>
      <c r="D98" s="1" t="s">
        <v>140</v>
      </c>
      <c r="E98" s="1">
        <v>26</v>
      </c>
      <c r="F98" s="1">
        <v>11</v>
      </c>
      <c r="G98" s="1">
        <v>0</v>
      </c>
      <c r="H98" s="1">
        <v>1</v>
      </c>
      <c r="I98" s="1">
        <v>2021</v>
      </c>
      <c r="J98" s="1">
        <v>4</v>
      </c>
      <c r="K98" s="1" t="s">
        <v>0</v>
      </c>
      <c r="L98" s="1">
        <v>1</v>
      </c>
      <c r="M98" s="1">
        <v>30</v>
      </c>
      <c r="N98" s="1">
        <v>0</v>
      </c>
      <c r="O98" s="1">
        <v>44606.576655092591</v>
      </c>
      <c r="P98" s="1">
        <v>18139681</v>
      </c>
      <c r="Q98" s="1">
        <v>18371924</v>
      </c>
      <c r="R98" s="1">
        <v>13156994</v>
      </c>
      <c r="S98" s="1">
        <v>14166883</v>
      </c>
      <c r="T98" s="1">
        <v>4982687</v>
      </c>
      <c r="U98" s="1">
        <v>4205041</v>
      </c>
      <c r="V98" s="1">
        <v>30893</v>
      </c>
      <c r="W98" s="1">
        <v>30893</v>
      </c>
      <c r="X98" s="1">
        <v>1389</v>
      </c>
      <c r="Y98" s="1">
        <v>1389</v>
      </c>
      <c r="Z98" s="1">
        <v>29504</v>
      </c>
      <c r="AA98" s="1">
        <v>29504</v>
      </c>
      <c r="AB98" s="1">
        <v>14488</v>
      </c>
      <c r="AC98" s="1">
        <v>14338</v>
      </c>
      <c r="AD98" s="1">
        <v>14338</v>
      </c>
      <c r="AE98" s="1">
        <v>14338</v>
      </c>
      <c r="AF98" s="1"/>
      <c r="AG98" s="1"/>
      <c r="AH98" s="1"/>
      <c r="AI98" s="1"/>
      <c r="AJ98" s="1"/>
      <c r="AK98" s="1"/>
      <c r="AL98" s="1">
        <v>150</v>
      </c>
      <c r="AM98" s="1">
        <v>0</v>
      </c>
      <c r="AN98" s="1"/>
      <c r="AO98" s="1"/>
      <c r="AP98" s="1">
        <v>20955</v>
      </c>
      <c r="AQ98" s="1">
        <v>96415</v>
      </c>
      <c r="AR98" s="1"/>
      <c r="AS98" s="1"/>
      <c r="AT98" s="1"/>
      <c r="AU98" s="1"/>
      <c r="AV98" s="2">
        <v>5047634</v>
      </c>
      <c r="AW98" s="1">
        <v>4345298</v>
      </c>
      <c r="AX98" s="1">
        <v>17414116</v>
      </c>
      <c r="AY98" s="1">
        <v>21446621</v>
      </c>
      <c r="AZ98" s="1">
        <v>9463635</v>
      </c>
      <c r="BA98" s="1">
        <v>9819867</v>
      </c>
      <c r="BB98" s="1"/>
      <c r="BC98" s="1"/>
      <c r="BD98" s="1">
        <v>7950481</v>
      </c>
      <c r="BE98" s="1">
        <v>11626754</v>
      </c>
      <c r="BF98" s="1"/>
      <c r="BG98" s="1"/>
      <c r="BH98" s="1">
        <v>34247</v>
      </c>
      <c r="BI98" s="1">
        <v>33992</v>
      </c>
      <c r="BJ98" s="1"/>
      <c r="BK98" s="1"/>
      <c r="BL98" s="1">
        <v>7576180</v>
      </c>
      <c r="BM98" s="1">
        <v>5995765</v>
      </c>
      <c r="BN98" s="1"/>
      <c r="BO98" s="1"/>
      <c r="BP98" s="1">
        <v>5432508</v>
      </c>
      <c r="BQ98" s="1">
        <v>3388967</v>
      </c>
      <c r="BR98" s="1"/>
      <c r="BS98" s="1"/>
      <c r="BT98" s="1"/>
      <c r="BU98" s="1"/>
      <c r="BV98" s="1">
        <v>257</v>
      </c>
      <c r="BW98" s="1">
        <v>802</v>
      </c>
      <c r="BX98" s="1">
        <v>797052</v>
      </c>
      <c r="BY98" s="1">
        <v>53984</v>
      </c>
      <c r="BZ98" s="1">
        <v>422703</v>
      </c>
      <c r="CA98" s="1">
        <v>684740</v>
      </c>
      <c r="CB98" s="1"/>
      <c r="CC98" s="1"/>
      <c r="CD98" s="1"/>
      <c r="CE98" s="1"/>
      <c r="CF98" s="1"/>
      <c r="CG98" s="1"/>
      <c r="CH98" s="1">
        <v>923660</v>
      </c>
      <c r="CI98" s="1">
        <v>1867272</v>
      </c>
      <c r="CJ98" s="1">
        <v>1436055</v>
      </c>
      <c r="CK98" s="1">
        <v>1268217</v>
      </c>
      <c r="CL98" s="1"/>
      <c r="CM98" s="1"/>
      <c r="CN98" s="1">
        <v>1340655</v>
      </c>
      <c r="CO98" s="1">
        <v>1227142</v>
      </c>
      <c r="CP98" s="1">
        <v>95400</v>
      </c>
      <c r="CQ98" s="1">
        <v>41075</v>
      </c>
      <c r="CR98" s="1"/>
      <c r="CS98" s="1"/>
      <c r="CT98" s="1"/>
      <c r="CU98" s="1"/>
      <c r="CV98" s="1"/>
      <c r="CW98" s="1"/>
      <c r="CX98" s="2">
        <v>26460598</v>
      </c>
      <c r="CY98" s="1">
        <v>28744595</v>
      </c>
      <c r="CZ98" s="1">
        <v>31508232</v>
      </c>
      <c r="DA98" s="1">
        <v>33089893</v>
      </c>
      <c r="DB98" s="1">
        <v>1132920</v>
      </c>
      <c r="DC98" s="1">
        <v>1132920</v>
      </c>
      <c r="DD98" s="1"/>
      <c r="DE98" s="1"/>
      <c r="DF98" s="1">
        <v>2029380</v>
      </c>
      <c r="DG98" s="1">
        <v>2029380</v>
      </c>
      <c r="DH98" s="1"/>
      <c r="DI98" s="1"/>
      <c r="DJ98" s="1">
        <v>24216111</v>
      </c>
      <c r="DK98" s="1">
        <v>25714574</v>
      </c>
      <c r="DL98" s="24">
        <v>1370814</v>
      </c>
      <c r="DM98" s="24">
        <v>1370814</v>
      </c>
      <c r="DN98" s="1"/>
      <c r="DO98" s="1"/>
      <c r="DP98" s="2">
        <v>28749225</v>
      </c>
      <c r="DQ98" s="1">
        <v>30247688</v>
      </c>
      <c r="DR98" s="2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2">
        <v>2759007</v>
      </c>
      <c r="EQ98" s="1">
        <v>2842205</v>
      </c>
      <c r="ER98" s="1">
        <v>2759007</v>
      </c>
      <c r="ES98" s="1">
        <v>2842205</v>
      </c>
      <c r="ET98" s="1"/>
      <c r="EU98" s="1"/>
      <c r="EV98" s="1">
        <v>1505111</v>
      </c>
      <c r="EW98" s="1">
        <v>1874682</v>
      </c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>
        <v>668945</v>
      </c>
      <c r="FI98" s="1">
        <v>919936</v>
      </c>
      <c r="FJ98" s="1">
        <v>33980</v>
      </c>
      <c r="FK98" s="1"/>
      <c r="FL98" s="1"/>
      <c r="FM98" s="1"/>
      <c r="FN98" s="1">
        <v>89219</v>
      </c>
      <c r="FO98" s="1">
        <v>146</v>
      </c>
      <c r="FP98" s="1">
        <v>5503</v>
      </c>
      <c r="FQ98" s="1">
        <v>5024</v>
      </c>
      <c r="FR98" s="1"/>
      <c r="FS98" s="1"/>
      <c r="FT98" s="1"/>
      <c r="FU98" s="1"/>
      <c r="FV98" s="1"/>
      <c r="FW98" s="1"/>
      <c r="FX98" s="1"/>
      <c r="FY98" s="1"/>
      <c r="FZ98" s="1">
        <v>456249</v>
      </c>
      <c r="GA98" s="1">
        <v>42417</v>
      </c>
      <c r="GB98" s="1">
        <v>2759007</v>
      </c>
      <c r="GC98" s="1">
        <v>2842205</v>
      </c>
      <c r="GD98" s="1">
        <v>31508232</v>
      </c>
      <c r="GE98" s="1">
        <v>33089893</v>
      </c>
    </row>
    <row r="99" spans="1:187" s="3" customFormat="1" ht="12" x14ac:dyDescent="0.2">
      <c r="A99" s="1">
        <v>20006</v>
      </c>
      <c r="B99" s="1">
        <v>0</v>
      </c>
      <c r="C99" s="1">
        <v>200663071</v>
      </c>
      <c r="D99" s="1" t="s">
        <v>140</v>
      </c>
      <c r="E99" s="1">
        <v>26</v>
      </c>
      <c r="F99" s="1">
        <v>11</v>
      </c>
      <c r="G99" s="1">
        <v>0</v>
      </c>
      <c r="H99" s="1">
        <v>1</v>
      </c>
      <c r="I99" s="1">
        <v>2020</v>
      </c>
      <c r="J99" s="1">
        <v>4</v>
      </c>
      <c r="K99" s="1" t="s">
        <v>0</v>
      </c>
      <c r="L99" s="1">
        <v>1</v>
      </c>
      <c r="M99" s="1">
        <v>30</v>
      </c>
      <c r="N99" s="1">
        <v>0</v>
      </c>
      <c r="O99" s="1">
        <v>44239.733935185184</v>
      </c>
      <c r="P99" s="1">
        <v>17682493</v>
      </c>
      <c r="Q99" s="1">
        <v>18139681</v>
      </c>
      <c r="R99" s="1">
        <v>12740317</v>
      </c>
      <c r="S99" s="1">
        <v>13156994</v>
      </c>
      <c r="T99" s="1">
        <v>4942176</v>
      </c>
      <c r="U99" s="1">
        <v>4982687</v>
      </c>
      <c r="V99" s="1">
        <v>1389</v>
      </c>
      <c r="W99" s="1">
        <v>30893</v>
      </c>
      <c r="X99" s="1">
        <v>1389</v>
      </c>
      <c r="Y99" s="1">
        <v>1389</v>
      </c>
      <c r="Z99" s="1">
        <v>0</v>
      </c>
      <c r="AA99" s="1">
        <v>29504</v>
      </c>
      <c r="AB99" s="1">
        <v>14488</v>
      </c>
      <c r="AC99" s="1">
        <v>14488</v>
      </c>
      <c r="AD99" s="1">
        <v>14338</v>
      </c>
      <c r="AE99" s="1">
        <v>14338</v>
      </c>
      <c r="AF99" s="1"/>
      <c r="AG99" s="1"/>
      <c r="AH99" s="1"/>
      <c r="AI99" s="1"/>
      <c r="AJ99" s="1"/>
      <c r="AK99" s="1"/>
      <c r="AL99" s="1">
        <v>150</v>
      </c>
      <c r="AM99" s="1">
        <v>150</v>
      </c>
      <c r="AN99" s="1"/>
      <c r="AO99" s="1"/>
      <c r="AP99" s="1"/>
      <c r="AQ99" s="1">
        <v>20955</v>
      </c>
      <c r="AR99" s="1"/>
      <c r="AS99" s="1"/>
      <c r="AT99" s="1"/>
      <c r="AU99" s="1"/>
      <c r="AV99" s="2">
        <v>4956664</v>
      </c>
      <c r="AW99" s="1">
        <v>5047634</v>
      </c>
      <c r="AX99" s="1">
        <v>12864880</v>
      </c>
      <c r="AY99" s="1">
        <v>17414116</v>
      </c>
      <c r="AZ99" s="1">
        <v>8286954</v>
      </c>
      <c r="BA99" s="1">
        <v>9463635</v>
      </c>
      <c r="BB99" s="1"/>
      <c r="BC99" s="1"/>
      <c r="BD99" s="1">
        <v>4577926</v>
      </c>
      <c r="BE99" s="1">
        <v>7950481</v>
      </c>
      <c r="BF99" s="1"/>
      <c r="BG99" s="1"/>
      <c r="BH99" s="1">
        <v>31425</v>
      </c>
      <c r="BI99" s="1">
        <v>34247</v>
      </c>
      <c r="BJ99" s="1"/>
      <c r="BK99" s="1"/>
      <c r="BL99" s="1">
        <v>10173396</v>
      </c>
      <c r="BM99" s="1">
        <v>7576180</v>
      </c>
      <c r="BN99" s="1"/>
      <c r="BO99" s="1"/>
      <c r="BP99" s="1">
        <v>7415924</v>
      </c>
      <c r="BQ99" s="1">
        <v>5432508</v>
      </c>
      <c r="BR99" s="1"/>
      <c r="BS99" s="1"/>
      <c r="BT99" s="1"/>
      <c r="BU99" s="1"/>
      <c r="BV99" s="1">
        <v>188</v>
      </c>
      <c r="BW99" s="1">
        <v>257</v>
      </c>
      <c r="BX99" s="1">
        <v>357812</v>
      </c>
      <c r="BY99" s="1">
        <v>797052</v>
      </c>
      <c r="BZ99" s="1">
        <v>1709776</v>
      </c>
      <c r="CA99" s="1">
        <v>422703</v>
      </c>
      <c r="CB99" s="1"/>
      <c r="CC99" s="1"/>
      <c r="CD99" s="1"/>
      <c r="CE99" s="1"/>
      <c r="CF99" s="1"/>
      <c r="CG99" s="1"/>
      <c r="CH99" s="1">
        <v>689696</v>
      </c>
      <c r="CI99" s="1">
        <v>923660</v>
      </c>
      <c r="CJ99" s="1">
        <v>1740349</v>
      </c>
      <c r="CK99" s="1">
        <v>1436055</v>
      </c>
      <c r="CL99" s="1"/>
      <c r="CM99" s="1"/>
      <c r="CN99" s="1">
        <v>1719833</v>
      </c>
      <c r="CO99" s="1">
        <v>1340655</v>
      </c>
      <c r="CP99" s="1">
        <v>20516</v>
      </c>
      <c r="CQ99" s="1">
        <v>95400</v>
      </c>
      <c r="CR99" s="1"/>
      <c r="CS99" s="1"/>
      <c r="CT99" s="1"/>
      <c r="CU99" s="1"/>
      <c r="CV99" s="1"/>
      <c r="CW99" s="1"/>
      <c r="CX99" s="2">
        <v>24810050</v>
      </c>
      <c r="CY99" s="1">
        <v>26460598</v>
      </c>
      <c r="CZ99" s="1">
        <v>29766714</v>
      </c>
      <c r="DA99" s="1">
        <v>31508232</v>
      </c>
      <c r="DB99" s="1">
        <v>1132920</v>
      </c>
      <c r="DC99" s="1">
        <v>1132920</v>
      </c>
      <c r="DD99" s="1"/>
      <c r="DE99" s="1"/>
      <c r="DF99" s="1">
        <v>2089918</v>
      </c>
      <c r="DG99" s="1">
        <v>2029380</v>
      </c>
      <c r="DH99" s="1"/>
      <c r="DI99" s="1"/>
      <c r="DJ99" s="1">
        <v>20156569</v>
      </c>
      <c r="DK99" s="1">
        <v>24216111</v>
      </c>
      <c r="DL99" s="24">
        <v>1370814</v>
      </c>
      <c r="DM99" s="24">
        <v>1370814</v>
      </c>
      <c r="DN99" s="1"/>
      <c r="DO99" s="1"/>
      <c r="DP99" s="2">
        <v>24750221</v>
      </c>
      <c r="DQ99" s="1">
        <v>28749225</v>
      </c>
      <c r="DR99" s="2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2">
        <v>5016493</v>
      </c>
      <c r="EQ99" s="1">
        <v>2759007</v>
      </c>
      <c r="ER99" s="1">
        <v>5016493</v>
      </c>
      <c r="ES99" s="1">
        <v>2759007</v>
      </c>
      <c r="ET99" s="1"/>
      <c r="EU99" s="1"/>
      <c r="EV99" s="1">
        <v>3975140</v>
      </c>
      <c r="EW99" s="1">
        <v>1505111</v>
      </c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>
        <v>329634</v>
      </c>
      <c r="FI99" s="1">
        <v>668945</v>
      </c>
      <c r="FJ99" s="1">
        <v>80165</v>
      </c>
      <c r="FK99" s="1">
        <v>33980</v>
      </c>
      <c r="FL99" s="1"/>
      <c r="FM99" s="1"/>
      <c r="FN99" s="1">
        <v>69492</v>
      </c>
      <c r="FO99" s="1">
        <v>89219</v>
      </c>
      <c r="FP99" s="1">
        <v>5164</v>
      </c>
      <c r="FQ99" s="1">
        <v>5503</v>
      </c>
      <c r="FR99" s="1">
        <v>189350</v>
      </c>
      <c r="FS99" s="1"/>
      <c r="FT99" s="1"/>
      <c r="FU99" s="1"/>
      <c r="FV99" s="1"/>
      <c r="FW99" s="1"/>
      <c r="FX99" s="1"/>
      <c r="FY99" s="1"/>
      <c r="FZ99" s="1">
        <v>367548</v>
      </c>
      <c r="GA99" s="1">
        <v>456249</v>
      </c>
      <c r="GB99" s="1">
        <v>5016493</v>
      </c>
      <c r="GC99" s="1">
        <v>2759007</v>
      </c>
      <c r="GD99" s="1">
        <v>29766714</v>
      </c>
      <c r="GE99" s="1">
        <v>31508232</v>
      </c>
    </row>
    <row r="100" spans="1:187" s="3" customFormat="1" ht="12" x14ac:dyDescent="0.2">
      <c r="A100" s="1">
        <v>20006</v>
      </c>
      <c r="B100" s="1">
        <v>0</v>
      </c>
      <c r="C100" s="1">
        <v>200663071</v>
      </c>
      <c r="D100" s="1" t="s">
        <v>140</v>
      </c>
      <c r="E100" s="1">
        <v>26</v>
      </c>
      <c r="F100" s="1">
        <v>11</v>
      </c>
      <c r="G100" s="1">
        <v>0</v>
      </c>
      <c r="H100" s="1">
        <v>1</v>
      </c>
      <c r="I100" s="1">
        <v>2019</v>
      </c>
      <c r="J100" s="1">
        <v>4</v>
      </c>
      <c r="K100" s="1" t="s">
        <v>0</v>
      </c>
      <c r="L100" s="1">
        <v>1</v>
      </c>
      <c r="M100" s="1">
        <v>30</v>
      </c>
      <c r="N100" s="1">
        <v>0</v>
      </c>
      <c r="O100" s="1">
        <v>43873.705520833333</v>
      </c>
      <c r="P100" s="1">
        <v>15264011</v>
      </c>
      <c r="Q100" s="1">
        <v>16739895</v>
      </c>
      <c r="R100" s="1">
        <v>11603380</v>
      </c>
      <c r="S100" s="1">
        <v>12087498</v>
      </c>
      <c r="T100" s="1">
        <v>3660631</v>
      </c>
      <c r="U100" s="1">
        <v>4652397</v>
      </c>
      <c r="V100" s="1">
        <v>1389</v>
      </c>
      <c r="W100" s="1">
        <v>1389</v>
      </c>
      <c r="X100" s="1">
        <v>1389</v>
      </c>
      <c r="Y100" s="1">
        <v>1389</v>
      </c>
      <c r="Z100" s="1">
        <v>0</v>
      </c>
      <c r="AA100" s="1">
        <v>0</v>
      </c>
      <c r="AB100" s="1">
        <v>14488</v>
      </c>
      <c r="AC100" s="1">
        <v>14488</v>
      </c>
      <c r="AD100" s="1">
        <v>14338</v>
      </c>
      <c r="AE100" s="1">
        <v>14338</v>
      </c>
      <c r="AF100" s="1"/>
      <c r="AG100" s="1"/>
      <c r="AH100" s="1"/>
      <c r="AI100" s="1"/>
      <c r="AJ100" s="1"/>
      <c r="AK100" s="1"/>
      <c r="AL100" s="1">
        <v>150</v>
      </c>
      <c r="AM100" s="1">
        <v>150</v>
      </c>
      <c r="AN100" s="1"/>
      <c r="AO100" s="1"/>
      <c r="AP100" s="1"/>
      <c r="AQ100" s="1"/>
      <c r="AR100" s="1"/>
      <c r="AS100" s="1"/>
      <c r="AT100" s="1"/>
      <c r="AU100" s="1"/>
      <c r="AV100" s="2">
        <v>3675119</v>
      </c>
      <c r="AW100" s="1">
        <v>4666885</v>
      </c>
      <c r="AX100" s="1">
        <v>11278158</v>
      </c>
      <c r="AY100" s="1">
        <v>12864880</v>
      </c>
      <c r="AZ100" s="1">
        <v>6442306</v>
      </c>
      <c r="BA100" s="1">
        <v>8286954</v>
      </c>
      <c r="BB100" s="1">
        <v>77849</v>
      </c>
      <c r="BC100" s="1">
        <v>0</v>
      </c>
      <c r="BD100" s="1">
        <v>4692116</v>
      </c>
      <c r="BE100" s="1">
        <v>4577926</v>
      </c>
      <c r="BF100" s="1">
        <v>65887</v>
      </c>
      <c r="BG100" s="1"/>
      <c r="BH100" s="1">
        <v>28686</v>
      </c>
      <c r="BI100" s="1">
        <v>31425</v>
      </c>
      <c r="BJ100" s="1"/>
      <c r="BK100" s="1"/>
      <c r="BL100" s="1">
        <v>11268562</v>
      </c>
      <c r="BM100" s="1">
        <v>10173396</v>
      </c>
      <c r="BN100" s="1"/>
      <c r="BO100" s="1"/>
      <c r="BP100" s="1">
        <v>2929151</v>
      </c>
      <c r="BQ100" s="1">
        <v>7415924</v>
      </c>
      <c r="BR100" s="1"/>
      <c r="BS100" s="1"/>
      <c r="BT100" s="1"/>
      <c r="BU100" s="1"/>
      <c r="BV100" s="1">
        <v>315</v>
      </c>
      <c r="BW100" s="1">
        <v>188</v>
      </c>
      <c r="BX100" s="1">
        <v>4863524</v>
      </c>
      <c r="BY100" s="1">
        <v>357812</v>
      </c>
      <c r="BZ100" s="1">
        <v>404382</v>
      </c>
      <c r="CA100" s="1">
        <v>1709776</v>
      </c>
      <c r="CB100" s="1"/>
      <c r="CC100" s="1"/>
      <c r="CD100" s="1"/>
      <c r="CE100" s="1"/>
      <c r="CF100" s="1"/>
      <c r="CG100" s="1"/>
      <c r="CH100" s="1">
        <v>3071190</v>
      </c>
      <c r="CI100" s="1">
        <v>689696</v>
      </c>
      <c r="CJ100" s="1">
        <v>1745517</v>
      </c>
      <c r="CK100" s="1">
        <v>1740349</v>
      </c>
      <c r="CL100" s="1"/>
      <c r="CM100" s="1"/>
      <c r="CN100" s="1">
        <v>1506848</v>
      </c>
      <c r="CO100" s="1">
        <v>1719833</v>
      </c>
      <c r="CP100" s="1">
        <v>189371</v>
      </c>
      <c r="CQ100" s="1">
        <v>20516</v>
      </c>
      <c r="CR100" s="1">
        <v>49298</v>
      </c>
      <c r="CS100" s="1"/>
      <c r="CT100" s="1"/>
      <c r="CU100" s="1"/>
      <c r="CV100" s="1"/>
      <c r="CW100" s="1"/>
      <c r="CX100" s="2">
        <v>24320923</v>
      </c>
      <c r="CY100" s="1">
        <v>24810050</v>
      </c>
      <c r="CZ100" s="1">
        <v>27996042</v>
      </c>
      <c r="DA100" s="1">
        <v>29476935</v>
      </c>
      <c r="DB100" s="1">
        <v>1132920</v>
      </c>
      <c r="DC100" s="1">
        <v>1132920</v>
      </c>
      <c r="DD100" s="1"/>
      <c r="DE100" s="1"/>
      <c r="DF100" s="1">
        <v>1810187</v>
      </c>
      <c r="DG100" s="1">
        <v>1800139</v>
      </c>
      <c r="DH100" s="1"/>
      <c r="DI100" s="1"/>
      <c r="DJ100" s="1">
        <v>19051065</v>
      </c>
      <c r="DK100" s="1">
        <v>20156569</v>
      </c>
      <c r="DL100" s="24">
        <v>1370814</v>
      </c>
      <c r="DM100" s="24">
        <v>1370814</v>
      </c>
      <c r="DN100" s="1"/>
      <c r="DO100" s="1"/>
      <c r="DP100" s="2">
        <v>23364986</v>
      </c>
      <c r="DQ100" s="1">
        <v>24460442</v>
      </c>
      <c r="DR100" s="2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2">
        <v>4631056</v>
      </c>
      <c r="EQ100" s="1">
        <v>5016493</v>
      </c>
      <c r="ER100" s="1">
        <v>4631056</v>
      </c>
      <c r="ES100" s="1">
        <v>5016493</v>
      </c>
      <c r="ET100" s="1"/>
      <c r="EU100" s="1"/>
      <c r="EV100" s="1">
        <v>2781292</v>
      </c>
      <c r="EW100" s="1">
        <v>3975140</v>
      </c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>
        <v>234982</v>
      </c>
      <c r="FI100" s="1">
        <v>329634</v>
      </c>
      <c r="FJ100" s="1">
        <v>354674</v>
      </c>
      <c r="FK100" s="1">
        <v>80165</v>
      </c>
      <c r="FL100" s="1"/>
      <c r="FM100" s="1"/>
      <c r="FN100" s="1">
        <v>245463</v>
      </c>
      <c r="FO100" s="1">
        <v>69492</v>
      </c>
      <c r="FP100" s="1">
        <v>4248</v>
      </c>
      <c r="FQ100" s="1">
        <v>5164</v>
      </c>
      <c r="FR100" s="1">
        <v>140855</v>
      </c>
      <c r="FS100" s="1">
        <v>189350</v>
      </c>
      <c r="FT100" s="1"/>
      <c r="FU100" s="1"/>
      <c r="FV100" s="1"/>
      <c r="FW100" s="1"/>
      <c r="FX100" s="1"/>
      <c r="FY100" s="1"/>
      <c r="FZ100" s="1">
        <v>869542</v>
      </c>
      <c r="GA100" s="1">
        <v>367548</v>
      </c>
      <c r="GB100" s="1">
        <v>4631056</v>
      </c>
      <c r="GC100" s="1">
        <v>5016493</v>
      </c>
      <c r="GD100" s="1">
        <v>27996042</v>
      </c>
      <c r="GE100" s="1">
        <v>29476935</v>
      </c>
    </row>
    <row r="101" spans="1:187" s="3" customFormat="1" x14ac:dyDescent="0.25">
      <c r="A101" s="1">
        <v>20006</v>
      </c>
      <c r="B101" s="1">
        <v>0</v>
      </c>
      <c r="C101" s="3">
        <v>200663071</v>
      </c>
      <c r="D101" s="3" t="s">
        <v>140</v>
      </c>
      <c r="E101" s="4">
        <v>26</v>
      </c>
      <c r="F101" s="4">
        <v>11</v>
      </c>
      <c r="G101" s="4">
        <v>0</v>
      </c>
      <c r="H101" s="4">
        <v>1</v>
      </c>
      <c r="I101" s="1">
        <v>2018</v>
      </c>
      <c r="J101" s="1">
        <v>4</v>
      </c>
      <c r="K101" s="3" t="s">
        <v>0</v>
      </c>
      <c r="L101" s="1">
        <v>2</v>
      </c>
      <c r="M101" s="1">
        <v>30</v>
      </c>
      <c r="N101" s="5">
        <v>0</v>
      </c>
      <c r="O101" s="6">
        <v>43801.495636574073</v>
      </c>
      <c r="P101" s="1">
        <v>12359472</v>
      </c>
      <c r="Q101" s="1">
        <v>14689219</v>
      </c>
      <c r="R101" s="1">
        <v>10459183</v>
      </c>
      <c r="S101" s="1">
        <v>11205907</v>
      </c>
      <c r="T101" s="1">
        <v>1900289</v>
      </c>
      <c r="U101" s="1">
        <v>3483312</v>
      </c>
      <c r="V101" s="1">
        <v>1389</v>
      </c>
      <c r="W101" s="1">
        <v>1389</v>
      </c>
      <c r="X101" s="1">
        <v>1389</v>
      </c>
      <c r="Y101" s="1">
        <v>1389</v>
      </c>
      <c r="Z101" s="1">
        <v>0</v>
      </c>
      <c r="AA101" s="1">
        <v>0</v>
      </c>
      <c r="AB101" s="1">
        <v>14488</v>
      </c>
      <c r="AC101" s="1">
        <v>14488</v>
      </c>
      <c r="AD101" s="1">
        <v>14338</v>
      </c>
      <c r="AE101" s="1">
        <v>14338</v>
      </c>
      <c r="AF101" s="1"/>
      <c r="AG101" s="1"/>
      <c r="AH101" s="1"/>
      <c r="AI101" s="1"/>
      <c r="AJ101" s="1"/>
      <c r="AK101" s="1"/>
      <c r="AL101" s="1">
        <v>150</v>
      </c>
      <c r="AM101" s="1">
        <v>150</v>
      </c>
      <c r="AN101" s="1"/>
      <c r="AO101" s="1"/>
      <c r="AP101" s="1"/>
      <c r="AQ101" s="1"/>
      <c r="AR101" s="1"/>
      <c r="AS101" s="1"/>
      <c r="AT101" s="1"/>
      <c r="AU101" s="1"/>
      <c r="AV101" s="2">
        <v>1914777</v>
      </c>
      <c r="AW101" s="1">
        <v>3497800</v>
      </c>
      <c r="AX101" s="1">
        <v>11584099</v>
      </c>
      <c r="AY101" s="1">
        <v>11278158</v>
      </c>
      <c r="AZ101" s="1">
        <v>4618939</v>
      </c>
      <c r="BA101" s="1">
        <v>6442306</v>
      </c>
      <c r="BB101" s="1">
        <v>139162</v>
      </c>
      <c r="BC101" s="1">
        <v>77849</v>
      </c>
      <c r="BD101" s="1">
        <v>6825998</v>
      </c>
      <c r="BE101" s="1">
        <v>4692116</v>
      </c>
      <c r="BF101" s="1"/>
      <c r="BG101" s="1">
        <v>65887</v>
      </c>
      <c r="BH101" s="1">
        <v>43276</v>
      </c>
      <c r="BI101" s="1">
        <v>28686</v>
      </c>
      <c r="BJ101" s="1"/>
      <c r="BK101" s="1"/>
      <c r="BL101" s="1">
        <v>3299956</v>
      </c>
      <c r="BM101" s="1">
        <v>11268562</v>
      </c>
      <c r="BN101" s="1"/>
      <c r="BO101" s="1"/>
      <c r="BP101" s="1">
        <v>1947077</v>
      </c>
      <c r="BQ101" s="1">
        <v>2929151</v>
      </c>
      <c r="BR101" s="1"/>
      <c r="BS101" s="1"/>
      <c r="BT101" s="1"/>
      <c r="BU101" s="1"/>
      <c r="BV101" s="1">
        <v>277</v>
      </c>
      <c r="BW101" s="1">
        <v>315</v>
      </c>
      <c r="BX101" s="1">
        <v>577543</v>
      </c>
      <c r="BY101" s="1">
        <v>4863524</v>
      </c>
      <c r="BZ101" s="1">
        <v>295723</v>
      </c>
      <c r="CA101" s="1">
        <v>404382</v>
      </c>
      <c r="CB101" s="1"/>
      <c r="CC101" s="1"/>
      <c r="CD101" s="1"/>
      <c r="CE101" s="1"/>
      <c r="CF101" s="1"/>
      <c r="CG101" s="1"/>
      <c r="CH101" s="1">
        <v>479336</v>
      </c>
      <c r="CI101" s="1">
        <v>3071190</v>
      </c>
      <c r="CJ101" s="1">
        <v>3117823</v>
      </c>
      <c r="CK101" s="1">
        <v>1745517</v>
      </c>
      <c r="CL101" s="1"/>
      <c r="CM101" s="1"/>
      <c r="CN101" s="1">
        <v>1622671</v>
      </c>
      <c r="CO101" s="1">
        <v>1506848</v>
      </c>
      <c r="CP101" s="1">
        <v>1008415</v>
      </c>
      <c r="CQ101" s="1">
        <v>189371</v>
      </c>
      <c r="CR101" s="1">
        <v>486737</v>
      </c>
      <c r="CS101" s="1">
        <v>49298</v>
      </c>
      <c r="CT101" s="1"/>
      <c r="CU101" s="1"/>
      <c r="CV101" s="1"/>
      <c r="CW101" s="1"/>
      <c r="CX101" s="2">
        <v>18045154</v>
      </c>
      <c r="CY101" s="1">
        <v>24320923</v>
      </c>
      <c r="CZ101" s="1">
        <v>19959931</v>
      </c>
      <c r="DA101" s="1">
        <v>27818723</v>
      </c>
      <c r="DB101" s="1">
        <v>1132920</v>
      </c>
      <c r="DC101" s="1">
        <v>1132920</v>
      </c>
      <c r="DD101" s="1"/>
      <c r="DE101" s="1"/>
      <c r="DF101" s="1">
        <v>1626454</v>
      </c>
      <c r="DG101" s="1">
        <v>1632868</v>
      </c>
      <c r="DH101" s="1"/>
      <c r="DI101" s="1"/>
      <c r="DJ101" s="1">
        <v>14182595</v>
      </c>
      <c r="DK101" s="1">
        <v>19051065</v>
      </c>
      <c r="DL101" s="24">
        <v>1370814</v>
      </c>
      <c r="DM101" s="24">
        <v>1370814</v>
      </c>
      <c r="DN101" s="1"/>
      <c r="DO101" s="1"/>
      <c r="DP101" s="2">
        <v>18312783</v>
      </c>
      <c r="DQ101" s="1">
        <v>23187667</v>
      </c>
      <c r="DR101" s="2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2">
        <v>1647148</v>
      </c>
      <c r="EQ101" s="1">
        <v>4631056</v>
      </c>
      <c r="ER101" s="1">
        <v>1647148</v>
      </c>
      <c r="ES101" s="1">
        <v>4631056</v>
      </c>
      <c r="ET101" s="1"/>
      <c r="EU101" s="1"/>
      <c r="EV101" s="1">
        <v>125936</v>
      </c>
      <c r="EW101" s="1">
        <v>2781292</v>
      </c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>
        <v>189024</v>
      </c>
      <c r="FI101" s="1">
        <v>234982</v>
      </c>
      <c r="FJ101" s="1">
        <v>299928</v>
      </c>
      <c r="FK101" s="1">
        <v>354674</v>
      </c>
      <c r="FL101" s="1"/>
      <c r="FM101" s="1"/>
      <c r="FN101" s="1">
        <v>207489</v>
      </c>
      <c r="FO101" s="1">
        <v>245463</v>
      </c>
      <c r="FP101" s="1">
        <v>3489</v>
      </c>
      <c r="FQ101" s="1">
        <v>4248</v>
      </c>
      <c r="FR101" s="1">
        <v>138129</v>
      </c>
      <c r="FS101" s="1">
        <v>140855</v>
      </c>
      <c r="FT101" s="1"/>
      <c r="FU101" s="1"/>
      <c r="FV101" s="1"/>
      <c r="FW101" s="1"/>
      <c r="FX101" s="1"/>
      <c r="FY101" s="1"/>
      <c r="FZ101" s="1">
        <v>683153</v>
      </c>
      <c r="GA101" s="1">
        <v>869542</v>
      </c>
      <c r="GB101" s="1">
        <v>1647148</v>
      </c>
      <c r="GC101" s="1">
        <v>4631056</v>
      </c>
      <c r="GD101" s="1">
        <v>19959931</v>
      </c>
      <c r="GE101" s="1">
        <v>27818723</v>
      </c>
    </row>
    <row r="102" spans="1:187" s="3" customFormat="1" ht="12" x14ac:dyDescent="0.2">
      <c r="A102" s="1">
        <v>20006</v>
      </c>
      <c r="B102" s="1">
        <v>0</v>
      </c>
      <c r="C102" s="1">
        <v>200670475</v>
      </c>
      <c r="D102" s="1" t="s">
        <v>141</v>
      </c>
      <c r="E102" s="1">
        <v>10</v>
      </c>
      <c r="F102" s="1">
        <v>1</v>
      </c>
      <c r="G102" s="1">
        <v>0</v>
      </c>
      <c r="H102" s="1">
        <v>1</v>
      </c>
      <c r="I102" s="1">
        <v>2021</v>
      </c>
      <c r="J102" s="1">
        <v>4</v>
      </c>
      <c r="K102" s="1" t="s">
        <v>0</v>
      </c>
      <c r="L102" s="1">
        <v>1</v>
      </c>
      <c r="M102" s="1">
        <v>30</v>
      </c>
      <c r="N102" s="1">
        <v>0</v>
      </c>
      <c r="O102" s="1">
        <v>44601.812199074076</v>
      </c>
      <c r="P102" s="1">
        <v>17308832</v>
      </c>
      <c r="Q102" s="1">
        <v>17363101</v>
      </c>
      <c r="R102" s="1">
        <v>8500562</v>
      </c>
      <c r="S102" s="1">
        <v>9427023</v>
      </c>
      <c r="T102" s="1">
        <v>8808270</v>
      </c>
      <c r="U102" s="1">
        <v>7936078</v>
      </c>
      <c r="V102" s="1"/>
      <c r="W102" s="1"/>
      <c r="X102" s="1"/>
      <c r="Y102" s="1"/>
      <c r="Z102" s="1"/>
      <c r="AA102" s="1"/>
      <c r="AB102" s="1">
        <v>1346926</v>
      </c>
      <c r="AC102" s="1">
        <v>1097883</v>
      </c>
      <c r="AD102" s="1">
        <v>116391</v>
      </c>
      <c r="AE102" s="1">
        <v>116391</v>
      </c>
      <c r="AF102" s="1"/>
      <c r="AG102" s="1"/>
      <c r="AH102" s="1">
        <v>1224535</v>
      </c>
      <c r="AI102" s="1">
        <v>981492</v>
      </c>
      <c r="AJ102" s="1"/>
      <c r="AK102" s="1"/>
      <c r="AL102" s="1">
        <v>6000</v>
      </c>
      <c r="AM102" s="1"/>
      <c r="AN102" s="1"/>
      <c r="AO102" s="1"/>
      <c r="AP102" s="1"/>
      <c r="AQ102" s="1"/>
      <c r="AR102" s="1">
        <v>55312</v>
      </c>
      <c r="AS102" s="1">
        <v>48776</v>
      </c>
      <c r="AT102" s="1"/>
      <c r="AU102" s="1"/>
      <c r="AV102" s="2">
        <v>10210508</v>
      </c>
      <c r="AW102" s="1">
        <v>9082737</v>
      </c>
      <c r="AX102" s="1">
        <v>35259447</v>
      </c>
      <c r="AY102" s="1">
        <v>20986932</v>
      </c>
      <c r="AZ102" s="1">
        <v>32737239</v>
      </c>
      <c r="BA102" s="1">
        <v>19818597</v>
      </c>
      <c r="BB102" s="1"/>
      <c r="BC102" s="1"/>
      <c r="BD102" s="1">
        <v>1880287</v>
      </c>
      <c r="BE102" s="1">
        <v>755752</v>
      </c>
      <c r="BF102" s="1">
        <v>641921</v>
      </c>
      <c r="BG102" s="1">
        <v>412583</v>
      </c>
      <c r="BH102" s="1"/>
      <c r="BI102" s="1"/>
      <c r="BJ102" s="1"/>
      <c r="BK102" s="1"/>
      <c r="BL102" s="1">
        <v>18018671</v>
      </c>
      <c r="BM102" s="1">
        <v>21110311</v>
      </c>
      <c r="BN102" s="1"/>
      <c r="BO102" s="1"/>
      <c r="BP102" s="1">
        <v>238413</v>
      </c>
      <c r="BQ102" s="1">
        <v>441775</v>
      </c>
      <c r="BR102" s="1"/>
      <c r="BS102" s="1"/>
      <c r="BT102" s="1">
        <v>1250122</v>
      </c>
      <c r="BU102" s="1"/>
      <c r="BV102" s="1">
        <v>28922</v>
      </c>
      <c r="BW102" s="1">
        <v>24812</v>
      </c>
      <c r="BX102" s="1">
        <v>13215850</v>
      </c>
      <c r="BY102" s="1">
        <v>15733113</v>
      </c>
      <c r="BZ102" s="1">
        <v>3027305</v>
      </c>
      <c r="CA102" s="1">
        <v>4641405</v>
      </c>
      <c r="CB102" s="1">
        <v>251495</v>
      </c>
      <c r="CC102" s="1">
        <v>256540</v>
      </c>
      <c r="CD102" s="1"/>
      <c r="CE102" s="1"/>
      <c r="CF102" s="1"/>
      <c r="CG102" s="1"/>
      <c r="CH102" s="1">
        <v>6564</v>
      </c>
      <c r="CI102" s="1">
        <v>12666</v>
      </c>
      <c r="CJ102" s="1">
        <v>205466</v>
      </c>
      <c r="CK102" s="1">
        <v>532751</v>
      </c>
      <c r="CL102" s="1"/>
      <c r="CM102" s="1"/>
      <c r="CN102" s="1">
        <v>5767</v>
      </c>
      <c r="CO102" s="1">
        <v>63915</v>
      </c>
      <c r="CP102" s="1"/>
      <c r="CQ102" s="1"/>
      <c r="CR102" s="1">
        <v>199699</v>
      </c>
      <c r="CS102" s="1">
        <v>468836</v>
      </c>
      <c r="CT102" s="1"/>
      <c r="CU102" s="1"/>
      <c r="CV102" s="1">
        <v>93186</v>
      </c>
      <c r="CW102" s="1">
        <v>93186</v>
      </c>
      <c r="CX102" s="2">
        <v>53576770</v>
      </c>
      <c r="CY102" s="1">
        <v>42723180</v>
      </c>
      <c r="CZ102" s="1">
        <v>63787278</v>
      </c>
      <c r="DA102" s="1">
        <v>51805917</v>
      </c>
      <c r="DB102" s="1">
        <v>1065545</v>
      </c>
      <c r="DC102" s="1">
        <v>1065545</v>
      </c>
      <c r="DD102" s="1">
        <v>14791</v>
      </c>
      <c r="DE102" s="1">
        <v>14791</v>
      </c>
      <c r="DF102" s="1">
        <v>2758305</v>
      </c>
      <c r="DG102" s="1">
        <v>3133813</v>
      </c>
      <c r="DH102" s="1"/>
      <c r="DI102" s="1"/>
      <c r="DJ102" s="1">
        <v>13512268</v>
      </c>
      <c r="DK102" s="1">
        <v>17065669</v>
      </c>
      <c r="DL102" s="24">
        <v>484878</v>
      </c>
      <c r="DM102" s="24">
        <v>861140</v>
      </c>
      <c r="DN102" s="1"/>
      <c r="DO102" s="1"/>
      <c r="DP102" s="2">
        <v>17835787</v>
      </c>
      <c r="DQ102" s="1">
        <v>22140958</v>
      </c>
      <c r="DR102" s="2">
        <v>309560</v>
      </c>
      <c r="DS102" s="1">
        <v>29560</v>
      </c>
      <c r="DT102" s="1">
        <v>29560</v>
      </c>
      <c r="DU102" s="1">
        <v>29560</v>
      </c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>
        <v>280000</v>
      </c>
      <c r="EK102" s="1"/>
      <c r="EL102" s="1"/>
      <c r="EM102" s="1"/>
      <c r="EN102" s="1">
        <v>29560</v>
      </c>
      <c r="EO102" s="1">
        <v>29560</v>
      </c>
      <c r="EP102" s="2">
        <v>45641931</v>
      </c>
      <c r="EQ102" s="1">
        <v>29635399</v>
      </c>
      <c r="ER102" s="1">
        <v>4943592</v>
      </c>
      <c r="ES102" s="1">
        <v>5825128</v>
      </c>
      <c r="ET102" s="1"/>
      <c r="EU102" s="1"/>
      <c r="EV102" s="1">
        <v>3530432</v>
      </c>
      <c r="EW102" s="1">
        <v>4258952</v>
      </c>
      <c r="EX102" s="1"/>
      <c r="EY102" s="1"/>
      <c r="EZ102" s="1">
        <v>41582</v>
      </c>
      <c r="FA102" s="1"/>
      <c r="FB102" s="1"/>
      <c r="FC102" s="1"/>
      <c r="FD102" s="1"/>
      <c r="FE102" s="1"/>
      <c r="FF102" s="1"/>
      <c r="FG102" s="1"/>
      <c r="FH102" s="1">
        <v>139918</v>
      </c>
      <c r="FI102" s="1">
        <v>49307</v>
      </c>
      <c r="FJ102" s="1">
        <v>17704</v>
      </c>
      <c r="FK102" s="1"/>
      <c r="FL102" s="1"/>
      <c r="FM102" s="1"/>
      <c r="FN102" s="1"/>
      <c r="FO102" s="1"/>
      <c r="FP102" s="1">
        <v>1166009</v>
      </c>
      <c r="FQ102" s="1">
        <v>1480230</v>
      </c>
      <c r="FR102" s="1">
        <v>31718</v>
      </c>
      <c r="FS102" s="1">
        <v>13437</v>
      </c>
      <c r="FT102" s="1"/>
      <c r="FU102" s="1"/>
      <c r="FV102" s="1">
        <v>40698339</v>
      </c>
      <c r="FW102" s="1">
        <v>23810271</v>
      </c>
      <c r="FX102" s="1"/>
      <c r="FY102" s="1"/>
      <c r="FZ102" s="1">
        <v>16229</v>
      </c>
      <c r="GA102" s="1">
        <v>23202</v>
      </c>
      <c r="GB102" s="1">
        <v>45951491</v>
      </c>
      <c r="GC102" s="1">
        <v>29664959</v>
      </c>
      <c r="GD102" s="1">
        <v>63787278</v>
      </c>
      <c r="GE102" s="1">
        <v>51805917</v>
      </c>
    </row>
    <row r="103" spans="1:187" s="3" customFormat="1" ht="12" x14ac:dyDescent="0.2">
      <c r="A103" s="1">
        <v>20006</v>
      </c>
      <c r="B103" s="1">
        <v>0</v>
      </c>
      <c r="C103" s="1">
        <v>200670475</v>
      </c>
      <c r="D103" s="1" t="s">
        <v>141</v>
      </c>
      <c r="E103" s="1">
        <v>10</v>
      </c>
      <c r="F103" s="1">
        <v>1</v>
      </c>
      <c r="G103" s="1">
        <v>0</v>
      </c>
      <c r="H103" s="1">
        <v>1</v>
      </c>
      <c r="I103" s="1">
        <v>2020</v>
      </c>
      <c r="J103" s="1">
        <v>4</v>
      </c>
      <c r="K103" s="1" t="s">
        <v>0</v>
      </c>
      <c r="L103" s="1">
        <v>1</v>
      </c>
      <c r="M103" s="1">
        <v>30</v>
      </c>
      <c r="N103" s="1">
        <v>0</v>
      </c>
      <c r="O103" s="1">
        <v>44238.758715277778</v>
      </c>
      <c r="P103" s="1">
        <v>17582674</v>
      </c>
      <c r="Q103" s="1">
        <v>17308832</v>
      </c>
      <c r="R103" s="1">
        <v>8369391</v>
      </c>
      <c r="S103" s="1">
        <v>8500562</v>
      </c>
      <c r="T103" s="1">
        <v>9213283</v>
      </c>
      <c r="U103" s="1">
        <v>8808270</v>
      </c>
      <c r="V103" s="1"/>
      <c r="W103" s="1"/>
      <c r="X103" s="1"/>
      <c r="Y103" s="1"/>
      <c r="Z103" s="1"/>
      <c r="AA103" s="1"/>
      <c r="AB103" s="1">
        <v>1346926</v>
      </c>
      <c r="AC103" s="1">
        <v>1346926</v>
      </c>
      <c r="AD103" s="1">
        <v>116391</v>
      </c>
      <c r="AE103" s="1">
        <v>116391</v>
      </c>
      <c r="AF103" s="1"/>
      <c r="AG103" s="1"/>
      <c r="AH103" s="1">
        <v>1224535</v>
      </c>
      <c r="AI103" s="1">
        <v>1224535</v>
      </c>
      <c r="AJ103" s="1"/>
      <c r="AK103" s="1"/>
      <c r="AL103" s="1">
        <v>6000</v>
      </c>
      <c r="AM103" s="1">
        <v>6000</v>
      </c>
      <c r="AN103" s="1"/>
      <c r="AO103" s="1"/>
      <c r="AP103" s="1"/>
      <c r="AQ103" s="1"/>
      <c r="AR103" s="1">
        <v>60972</v>
      </c>
      <c r="AS103" s="1">
        <v>55312</v>
      </c>
      <c r="AT103" s="1"/>
      <c r="AU103" s="1"/>
      <c r="AV103" s="2">
        <v>10621181</v>
      </c>
      <c r="AW103" s="1">
        <v>10210508</v>
      </c>
      <c r="AX103" s="1">
        <v>34080903</v>
      </c>
      <c r="AY103" s="1">
        <v>35259447</v>
      </c>
      <c r="AZ103" s="1">
        <v>31139986</v>
      </c>
      <c r="BA103" s="1">
        <v>32737239</v>
      </c>
      <c r="BB103" s="1"/>
      <c r="BC103" s="1"/>
      <c r="BD103" s="1">
        <v>1979273</v>
      </c>
      <c r="BE103" s="1">
        <v>1880287</v>
      </c>
      <c r="BF103" s="1">
        <v>961644</v>
      </c>
      <c r="BG103" s="1">
        <v>641921</v>
      </c>
      <c r="BH103" s="1"/>
      <c r="BI103" s="1"/>
      <c r="BJ103" s="1"/>
      <c r="BK103" s="1"/>
      <c r="BL103" s="1">
        <v>17981256</v>
      </c>
      <c r="BM103" s="1">
        <v>18018671</v>
      </c>
      <c r="BN103" s="1"/>
      <c r="BO103" s="1"/>
      <c r="BP103" s="1">
        <v>301810</v>
      </c>
      <c r="BQ103" s="1">
        <v>238413</v>
      </c>
      <c r="BR103" s="1"/>
      <c r="BS103" s="1"/>
      <c r="BT103" s="1">
        <v>713819</v>
      </c>
      <c r="BU103" s="1">
        <v>1250122</v>
      </c>
      <c r="BV103" s="1">
        <v>53545</v>
      </c>
      <c r="BW103" s="1">
        <v>28922</v>
      </c>
      <c r="BX103" s="1">
        <v>15793956</v>
      </c>
      <c r="BY103" s="1">
        <v>13215850</v>
      </c>
      <c r="BZ103" s="1">
        <v>1100029</v>
      </c>
      <c r="CA103" s="1">
        <v>3027305</v>
      </c>
      <c r="CB103" s="1">
        <v>7213</v>
      </c>
      <c r="CC103" s="1">
        <v>251495</v>
      </c>
      <c r="CD103" s="1"/>
      <c r="CE103" s="1"/>
      <c r="CF103" s="1"/>
      <c r="CG103" s="1"/>
      <c r="CH103" s="1">
        <v>10884</v>
      </c>
      <c r="CI103" s="1">
        <v>6564</v>
      </c>
      <c r="CJ103" s="1">
        <v>174130</v>
      </c>
      <c r="CK103" s="1">
        <v>205466</v>
      </c>
      <c r="CL103" s="1"/>
      <c r="CM103" s="1"/>
      <c r="CN103" s="1">
        <v>7616</v>
      </c>
      <c r="CO103" s="1">
        <v>5767</v>
      </c>
      <c r="CP103" s="1"/>
      <c r="CQ103" s="1"/>
      <c r="CR103" s="1">
        <v>166514</v>
      </c>
      <c r="CS103" s="1">
        <v>199699</v>
      </c>
      <c r="CT103" s="1"/>
      <c r="CU103" s="1"/>
      <c r="CV103" s="1">
        <v>93186</v>
      </c>
      <c r="CW103" s="1">
        <v>93186</v>
      </c>
      <c r="CX103" s="2">
        <v>52329475</v>
      </c>
      <c r="CY103" s="1">
        <v>53576770</v>
      </c>
      <c r="CZ103" s="1">
        <v>62950656</v>
      </c>
      <c r="DA103" s="1">
        <v>63787278</v>
      </c>
      <c r="DB103" s="1">
        <v>1065545</v>
      </c>
      <c r="DC103" s="1">
        <v>1065545</v>
      </c>
      <c r="DD103" s="1">
        <v>14791</v>
      </c>
      <c r="DE103" s="1">
        <v>14791</v>
      </c>
      <c r="DF103" s="1">
        <v>2511450</v>
      </c>
      <c r="DG103" s="1">
        <v>2758305</v>
      </c>
      <c r="DH103" s="1"/>
      <c r="DI103" s="1"/>
      <c r="DJ103" s="1">
        <v>8604454</v>
      </c>
      <c r="DK103" s="1">
        <v>13512268</v>
      </c>
      <c r="DL103" s="24">
        <v>174774</v>
      </c>
      <c r="DM103" s="24">
        <v>484878</v>
      </c>
      <c r="DN103" s="1"/>
      <c r="DO103" s="1"/>
      <c r="DP103" s="2">
        <v>12371014</v>
      </c>
      <c r="DQ103" s="1">
        <v>17835787</v>
      </c>
      <c r="DR103" s="2">
        <v>1602039</v>
      </c>
      <c r="DS103" s="1">
        <v>309560</v>
      </c>
      <c r="DT103" s="1">
        <v>29560</v>
      </c>
      <c r="DU103" s="1">
        <v>29560</v>
      </c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>
        <v>1572479</v>
      </c>
      <c r="EK103" s="1">
        <v>280000</v>
      </c>
      <c r="EL103" s="1"/>
      <c r="EM103" s="1"/>
      <c r="EN103" s="1">
        <v>29560</v>
      </c>
      <c r="EO103" s="1">
        <v>29560</v>
      </c>
      <c r="EP103" s="2">
        <v>48977603</v>
      </c>
      <c r="EQ103" s="1">
        <v>45641931</v>
      </c>
      <c r="ER103" s="1">
        <v>4269838</v>
      </c>
      <c r="ES103" s="1">
        <v>4943592</v>
      </c>
      <c r="ET103" s="1"/>
      <c r="EU103" s="1"/>
      <c r="EV103" s="1">
        <v>2690784</v>
      </c>
      <c r="EW103" s="1">
        <v>3530432</v>
      </c>
      <c r="EX103" s="1"/>
      <c r="EY103" s="1"/>
      <c r="EZ103" s="1">
        <v>1232808</v>
      </c>
      <c r="FA103" s="1">
        <v>41582</v>
      </c>
      <c r="FB103" s="1"/>
      <c r="FC103" s="1"/>
      <c r="FD103" s="1"/>
      <c r="FE103" s="1"/>
      <c r="FF103" s="1"/>
      <c r="FG103" s="1"/>
      <c r="FH103" s="1">
        <v>35015</v>
      </c>
      <c r="FI103" s="1">
        <v>139918</v>
      </c>
      <c r="FJ103" s="1">
        <v>72015</v>
      </c>
      <c r="FK103" s="1">
        <v>17704</v>
      </c>
      <c r="FL103" s="1"/>
      <c r="FM103" s="1"/>
      <c r="FN103" s="1">
        <v>93648</v>
      </c>
      <c r="FO103" s="1"/>
      <c r="FP103" s="1">
        <v>124587</v>
      </c>
      <c r="FQ103" s="1">
        <v>1166009</v>
      </c>
      <c r="FR103" s="1">
        <v>6899</v>
      </c>
      <c r="FS103" s="1">
        <v>31718</v>
      </c>
      <c r="FT103" s="1">
        <v>1189813</v>
      </c>
      <c r="FU103" s="1"/>
      <c r="FV103" s="1">
        <v>43517952</v>
      </c>
      <c r="FW103" s="1">
        <v>40698339</v>
      </c>
      <c r="FX103" s="1"/>
      <c r="FY103" s="1"/>
      <c r="FZ103" s="1">
        <v>14082</v>
      </c>
      <c r="GA103" s="1">
        <v>16229</v>
      </c>
      <c r="GB103" s="1">
        <v>50579642</v>
      </c>
      <c r="GC103" s="1">
        <v>45951491</v>
      </c>
      <c r="GD103" s="1">
        <v>62950656</v>
      </c>
      <c r="GE103" s="1">
        <v>63787278</v>
      </c>
    </row>
    <row r="104" spans="1:187" s="3" customFormat="1" ht="12" x14ac:dyDescent="0.2">
      <c r="A104" s="1">
        <v>20006</v>
      </c>
      <c r="B104" s="1">
        <v>0</v>
      </c>
      <c r="C104" s="1">
        <v>200670475</v>
      </c>
      <c r="D104" s="1" t="s">
        <v>141</v>
      </c>
      <c r="E104" s="1">
        <v>10</v>
      </c>
      <c r="F104" s="1">
        <v>1</v>
      </c>
      <c r="G104" s="1">
        <v>0</v>
      </c>
      <c r="H104" s="1">
        <v>1</v>
      </c>
      <c r="I104" s="1">
        <v>2019</v>
      </c>
      <c r="J104" s="1">
        <v>4</v>
      </c>
      <c r="K104" s="1" t="s">
        <v>0</v>
      </c>
      <c r="L104" s="1">
        <v>1</v>
      </c>
      <c r="M104" s="1">
        <v>30</v>
      </c>
      <c r="N104" s="1">
        <v>0</v>
      </c>
      <c r="O104" s="1">
        <v>43874.368854166663</v>
      </c>
      <c r="P104" s="1">
        <v>14337595</v>
      </c>
      <c r="Q104" s="1">
        <v>16435624</v>
      </c>
      <c r="R104" s="1">
        <v>7174993</v>
      </c>
      <c r="S104" s="1">
        <v>7923736</v>
      </c>
      <c r="T104" s="1">
        <v>7162602</v>
      </c>
      <c r="U104" s="1">
        <v>8511888</v>
      </c>
      <c r="V104" s="1"/>
      <c r="W104" s="1"/>
      <c r="X104" s="1"/>
      <c r="Y104" s="1"/>
      <c r="Z104" s="1"/>
      <c r="AA104" s="1"/>
      <c r="AB104" s="1">
        <v>1352926</v>
      </c>
      <c r="AC104" s="1">
        <v>1346926</v>
      </c>
      <c r="AD104" s="1">
        <v>116391</v>
      </c>
      <c r="AE104" s="1">
        <v>116391</v>
      </c>
      <c r="AF104" s="1"/>
      <c r="AG104" s="1"/>
      <c r="AH104" s="1">
        <v>1224535</v>
      </c>
      <c r="AI104" s="1">
        <v>1224535</v>
      </c>
      <c r="AJ104" s="1"/>
      <c r="AK104" s="1"/>
      <c r="AL104" s="1">
        <v>12000</v>
      </c>
      <c r="AM104" s="1">
        <v>6000</v>
      </c>
      <c r="AN104" s="1"/>
      <c r="AO104" s="1"/>
      <c r="AP104" s="1"/>
      <c r="AQ104" s="1"/>
      <c r="AR104" s="1">
        <v>116742</v>
      </c>
      <c r="AS104" s="1">
        <v>60972</v>
      </c>
      <c r="AT104" s="1"/>
      <c r="AU104" s="1"/>
      <c r="AV104" s="2">
        <v>8632270</v>
      </c>
      <c r="AW104" s="1">
        <v>9919786</v>
      </c>
      <c r="AX104" s="1">
        <v>17460880</v>
      </c>
      <c r="AY104" s="1">
        <v>34080903</v>
      </c>
      <c r="AZ104" s="1">
        <v>16458706</v>
      </c>
      <c r="BA104" s="1">
        <v>31139986</v>
      </c>
      <c r="BB104" s="1"/>
      <c r="BC104" s="1"/>
      <c r="BD104" s="1">
        <v>601666</v>
      </c>
      <c r="BE104" s="1">
        <v>1979273</v>
      </c>
      <c r="BF104" s="1">
        <v>400508</v>
      </c>
      <c r="BG104" s="1">
        <v>961644</v>
      </c>
      <c r="BH104" s="1"/>
      <c r="BI104" s="1"/>
      <c r="BJ104" s="1"/>
      <c r="BK104" s="1"/>
      <c r="BL104" s="1">
        <v>20449521</v>
      </c>
      <c r="BM104" s="1">
        <v>17981256</v>
      </c>
      <c r="BN104" s="1"/>
      <c r="BO104" s="1"/>
      <c r="BP104" s="1">
        <v>34151</v>
      </c>
      <c r="BQ104" s="1">
        <v>301810</v>
      </c>
      <c r="BR104" s="1"/>
      <c r="BS104" s="1"/>
      <c r="BT104" s="1">
        <v>4232796</v>
      </c>
      <c r="BU104" s="1">
        <v>713819</v>
      </c>
      <c r="BV104" s="1">
        <v>75560</v>
      </c>
      <c r="BW104" s="1">
        <v>53545</v>
      </c>
      <c r="BX104" s="1">
        <v>16017592</v>
      </c>
      <c r="BY104" s="1">
        <v>15793956</v>
      </c>
      <c r="BZ104" s="1">
        <v>665</v>
      </c>
      <c r="CA104" s="1">
        <v>1100029</v>
      </c>
      <c r="CB104" s="1">
        <v>12623</v>
      </c>
      <c r="CC104" s="1">
        <v>7213</v>
      </c>
      <c r="CD104" s="1"/>
      <c r="CE104" s="1"/>
      <c r="CF104" s="1"/>
      <c r="CG104" s="1"/>
      <c r="CH104" s="1">
        <v>76134</v>
      </c>
      <c r="CI104" s="1">
        <v>10884</v>
      </c>
      <c r="CJ104" s="1">
        <v>259242</v>
      </c>
      <c r="CK104" s="1">
        <v>174130</v>
      </c>
      <c r="CL104" s="1"/>
      <c r="CM104" s="1"/>
      <c r="CN104" s="1">
        <v>27389</v>
      </c>
      <c r="CO104" s="1">
        <v>7616</v>
      </c>
      <c r="CP104" s="1"/>
      <c r="CQ104" s="1"/>
      <c r="CR104" s="1">
        <v>231853</v>
      </c>
      <c r="CS104" s="1">
        <v>166514</v>
      </c>
      <c r="CT104" s="1"/>
      <c r="CU104" s="1"/>
      <c r="CV104" s="1">
        <v>93186</v>
      </c>
      <c r="CW104" s="1">
        <v>93186</v>
      </c>
      <c r="CX104" s="2">
        <v>38262829</v>
      </c>
      <c r="CY104" s="1">
        <v>52329475</v>
      </c>
      <c r="CZ104" s="1">
        <v>46895099</v>
      </c>
      <c r="DA104" s="1">
        <v>62249261</v>
      </c>
      <c r="DB104" s="1">
        <v>1065545</v>
      </c>
      <c r="DC104" s="1">
        <v>1065545</v>
      </c>
      <c r="DD104" s="1">
        <v>14791</v>
      </c>
      <c r="DE104" s="1">
        <v>14791</v>
      </c>
      <c r="DF104" s="1">
        <v>1617912</v>
      </c>
      <c r="DG104" s="1">
        <v>1810055</v>
      </c>
      <c r="DH104" s="1"/>
      <c r="DI104" s="1"/>
      <c r="DJ104" s="1">
        <v>3939252</v>
      </c>
      <c r="DK104" s="1">
        <v>8604454</v>
      </c>
      <c r="DL104" s="24"/>
      <c r="DM104" s="24">
        <v>174774</v>
      </c>
      <c r="DN104" s="1"/>
      <c r="DO104" s="1"/>
      <c r="DP104" s="2">
        <v>6637500</v>
      </c>
      <c r="DQ104" s="1">
        <v>11669619</v>
      </c>
      <c r="DR104" s="2">
        <v>2941145</v>
      </c>
      <c r="DS104" s="1">
        <v>1602039</v>
      </c>
      <c r="DT104" s="1">
        <v>29560</v>
      </c>
      <c r="DU104" s="1">
        <v>29560</v>
      </c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>
        <v>2911585</v>
      </c>
      <c r="EK104" s="1">
        <v>1572479</v>
      </c>
      <c r="EL104" s="1"/>
      <c r="EM104" s="1"/>
      <c r="EN104" s="1">
        <v>29560</v>
      </c>
      <c r="EO104" s="1">
        <v>29560</v>
      </c>
      <c r="EP104" s="2">
        <v>37316454</v>
      </c>
      <c r="EQ104" s="1">
        <v>48977603</v>
      </c>
      <c r="ER104" s="1">
        <v>8478635</v>
      </c>
      <c r="ES104" s="1">
        <v>4269838</v>
      </c>
      <c r="ET104" s="1"/>
      <c r="EU104" s="1"/>
      <c r="EV104" s="1">
        <v>2051902</v>
      </c>
      <c r="EW104" s="1">
        <v>2690784</v>
      </c>
      <c r="EX104" s="1"/>
      <c r="EY104" s="1"/>
      <c r="EZ104" s="1">
        <v>3784517</v>
      </c>
      <c r="FA104" s="1">
        <v>1232808</v>
      </c>
      <c r="FB104" s="1"/>
      <c r="FC104" s="1"/>
      <c r="FD104" s="1"/>
      <c r="FE104" s="1"/>
      <c r="FF104" s="1"/>
      <c r="FG104" s="1"/>
      <c r="FH104" s="1">
        <v>95360</v>
      </c>
      <c r="FI104" s="1">
        <v>35015</v>
      </c>
      <c r="FJ104" s="1">
        <v>2026231</v>
      </c>
      <c r="FK104" s="1">
        <v>72015</v>
      </c>
      <c r="FL104" s="1"/>
      <c r="FM104" s="1"/>
      <c r="FN104" s="1">
        <v>431115</v>
      </c>
      <c r="FO104" s="1">
        <v>93648</v>
      </c>
      <c r="FP104" s="1">
        <v>74601</v>
      </c>
      <c r="FQ104" s="1">
        <v>124587</v>
      </c>
      <c r="FR104" s="1">
        <v>1941</v>
      </c>
      <c r="FS104" s="1">
        <v>6899</v>
      </c>
      <c r="FT104" s="1">
        <v>2183000</v>
      </c>
      <c r="FU104" s="1">
        <v>1189813</v>
      </c>
      <c r="FV104" s="1">
        <v>26654819</v>
      </c>
      <c r="FW104" s="1">
        <v>43517952</v>
      </c>
      <c r="FX104" s="1"/>
      <c r="FY104" s="1"/>
      <c r="FZ104" s="1">
        <v>12968</v>
      </c>
      <c r="GA104" s="1">
        <v>14082</v>
      </c>
      <c r="GB104" s="1">
        <v>40257599</v>
      </c>
      <c r="GC104" s="1">
        <v>50579642</v>
      </c>
      <c r="GD104" s="1">
        <v>46895099</v>
      </c>
      <c r="GE104" s="1">
        <v>62249261</v>
      </c>
    </row>
    <row r="105" spans="1:187" s="3" customFormat="1" x14ac:dyDescent="0.25">
      <c r="A105" s="1">
        <v>20006</v>
      </c>
      <c r="B105" s="1">
        <v>0</v>
      </c>
      <c r="C105" s="3">
        <v>200670475</v>
      </c>
      <c r="D105" s="3" t="s">
        <v>141</v>
      </c>
      <c r="E105" s="4">
        <v>10</v>
      </c>
      <c r="F105" s="4">
        <v>1</v>
      </c>
      <c r="G105" s="4">
        <v>0</v>
      </c>
      <c r="H105" s="4">
        <v>1</v>
      </c>
      <c r="I105" s="1">
        <v>2018</v>
      </c>
      <c r="J105" s="1">
        <v>4</v>
      </c>
      <c r="K105" s="3" t="s">
        <v>0</v>
      </c>
      <c r="L105" s="1">
        <v>2</v>
      </c>
      <c r="M105" s="1">
        <v>30</v>
      </c>
      <c r="N105" s="5">
        <v>0</v>
      </c>
      <c r="O105" s="6">
        <v>43522.607604166667</v>
      </c>
      <c r="P105" s="1">
        <v>9343348</v>
      </c>
      <c r="Q105" s="1">
        <v>13661949</v>
      </c>
      <c r="R105" s="1">
        <v>7162356</v>
      </c>
      <c r="S105" s="1">
        <v>6905117</v>
      </c>
      <c r="T105" s="1">
        <v>2180992</v>
      </c>
      <c r="U105" s="1">
        <v>6756832</v>
      </c>
      <c r="V105" s="1"/>
      <c r="W105" s="1"/>
      <c r="X105" s="1"/>
      <c r="Y105" s="1"/>
      <c r="Z105" s="1"/>
      <c r="AA105" s="1"/>
      <c r="AB105" s="1">
        <v>123279</v>
      </c>
      <c r="AC105" s="1">
        <v>1352926</v>
      </c>
      <c r="AD105" s="1">
        <v>113279</v>
      </c>
      <c r="AE105" s="1">
        <v>116391</v>
      </c>
      <c r="AF105" s="1"/>
      <c r="AG105" s="1"/>
      <c r="AH105" s="1"/>
      <c r="AI105" s="1">
        <v>1224535</v>
      </c>
      <c r="AJ105" s="1"/>
      <c r="AK105" s="1"/>
      <c r="AL105" s="1">
        <v>10000</v>
      </c>
      <c r="AM105" s="1">
        <v>12000</v>
      </c>
      <c r="AN105" s="1"/>
      <c r="AO105" s="1"/>
      <c r="AP105" s="1">
        <v>3912549</v>
      </c>
      <c r="AQ105" s="1"/>
      <c r="AR105" s="1">
        <v>137965</v>
      </c>
      <c r="AS105" s="1">
        <v>116742</v>
      </c>
      <c r="AT105" s="1"/>
      <c r="AU105" s="1"/>
      <c r="AV105" s="2">
        <v>6354785</v>
      </c>
      <c r="AW105" s="1">
        <v>8226500</v>
      </c>
      <c r="AX105" s="1">
        <v>14296870</v>
      </c>
      <c r="AY105" s="1">
        <v>17460880</v>
      </c>
      <c r="AZ105" s="1">
        <v>13641558</v>
      </c>
      <c r="BA105" s="1">
        <v>16458706</v>
      </c>
      <c r="BB105" s="1"/>
      <c r="BC105" s="1"/>
      <c r="BD105" s="1">
        <v>187278</v>
      </c>
      <c r="BE105" s="1">
        <v>601666</v>
      </c>
      <c r="BF105" s="1">
        <v>468034</v>
      </c>
      <c r="BG105" s="1">
        <v>400508</v>
      </c>
      <c r="BH105" s="1"/>
      <c r="BI105" s="1"/>
      <c r="BJ105" s="1"/>
      <c r="BK105" s="1"/>
      <c r="BL105" s="1">
        <v>18174858</v>
      </c>
      <c r="BM105" s="1">
        <v>20449521</v>
      </c>
      <c r="BN105" s="1"/>
      <c r="BO105" s="1"/>
      <c r="BP105" s="1">
        <v>32091</v>
      </c>
      <c r="BQ105" s="1">
        <v>34151</v>
      </c>
      <c r="BR105" s="1"/>
      <c r="BS105" s="1"/>
      <c r="BT105" s="1">
        <v>2753075</v>
      </c>
      <c r="BU105" s="1">
        <v>4232796</v>
      </c>
      <c r="BV105" s="1">
        <v>300</v>
      </c>
      <c r="BW105" s="1">
        <v>75560</v>
      </c>
      <c r="BX105" s="1">
        <v>15112920</v>
      </c>
      <c r="BY105" s="1">
        <v>16017592</v>
      </c>
      <c r="BZ105" s="1">
        <v>41743</v>
      </c>
      <c r="CA105" s="1">
        <v>665</v>
      </c>
      <c r="CB105" s="1">
        <v>44375</v>
      </c>
      <c r="CC105" s="1">
        <v>12623</v>
      </c>
      <c r="CD105" s="1"/>
      <c r="CE105" s="1"/>
      <c r="CF105" s="1">
        <v>93186</v>
      </c>
      <c r="CG105" s="1"/>
      <c r="CH105" s="1">
        <v>97168</v>
      </c>
      <c r="CI105" s="1">
        <v>76134</v>
      </c>
      <c r="CJ105" s="1">
        <v>59906</v>
      </c>
      <c r="CK105" s="1">
        <v>259242</v>
      </c>
      <c r="CL105" s="1"/>
      <c r="CM105" s="1"/>
      <c r="CN105" s="1">
        <v>1518</v>
      </c>
      <c r="CO105" s="1">
        <v>27389</v>
      </c>
      <c r="CP105" s="1"/>
      <c r="CQ105" s="1"/>
      <c r="CR105" s="1">
        <v>58388</v>
      </c>
      <c r="CS105" s="1">
        <v>231853</v>
      </c>
      <c r="CT105" s="1"/>
      <c r="CU105" s="1"/>
      <c r="CV105" s="1"/>
      <c r="CW105" s="1">
        <v>93186</v>
      </c>
      <c r="CX105" s="2">
        <v>32531634</v>
      </c>
      <c r="CY105" s="1">
        <v>38262829</v>
      </c>
      <c r="CZ105" s="1">
        <v>38886419</v>
      </c>
      <c r="DA105" s="1">
        <v>46489329</v>
      </c>
      <c r="DB105" s="1">
        <v>1065545</v>
      </c>
      <c r="DC105" s="1">
        <v>1065545</v>
      </c>
      <c r="DD105" s="1">
        <v>14791</v>
      </c>
      <c r="DE105" s="1">
        <v>14791</v>
      </c>
      <c r="DF105" s="1">
        <v>1340081</v>
      </c>
      <c r="DG105" s="1">
        <v>1212142</v>
      </c>
      <c r="DH105" s="1"/>
      <c r="DI105" s="1"/>
      <c r="DJ105" s="1">
        <v>248770</v>
      </c>
      <c r="DK105" s="1">
        <v>3939252</v>
      </c>
      <c r="DL105" s="24"/>
      <c r="DM105" s="24"/>
      <c r="DN105" s="1"/>
      <c r="DO105" s="1"/>
      <c r="DP105" s="2">
        <v>2669187</v>
      </c>
      <c r="DQ105" s="1">
        <v>6231730</v>
      </c>
      <c r="DR105" s="2">
        <v>2629560</v>
      </c>
      <c r="DS105" s="1">
        <v>2941145</v>
      </c>
      <c r="DT105" s="1">
        <v>29560</v>
      </c>
      <c r="DU105" s="1">
        <v>29560</v>
      </c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>
        <v>2600000</v>
      </c>
      <c r="EK105" s="1">
        <v>2911585</v>
      </c>
      <c r="EL105" s="1"/>
      <c r="EM105" s="1"/>
      <c r="EN105" s="1">
        <v>29560</v>
      </c>
      <c r="EO105" s="1">
        <v>29560</v>
      </c>
      <c r="EP105" s="2">
        <v>33587672</v>
      </c>
      <c r="EQ105" s="1">
        <v>37316454</v>
      </c>
      <c r="ER105" s="1">
        <v>14984436</v>
      </c>
      <c r="ES105" s="1">
        <v>8478635</v>
      </c>
      <c r="ET105" s="1"/>
      <c r="EU105" s="1"/>
      <c r="EV105" s="1">
        <v>1921341</v>
      </c>
      <c r="EW105" s="1">
        <v>2051902</v>
      </c>
      <c r="EX105" s="1"/>
      <c r="EY105" s="1"/>
      <c r="EZ105" s="1">
        <v>1501164</v>
      </c>
      <c r="FA105" s="1">
        <v>3784517</v>
      </c>
      <c r="FB105" s="1"/>
      <c r="FC105" s="1"/>
      <c r="FD105" s="1">
        <v>9213628</v>
      </c>
      <c r="FE105" s="1"/>
      <c r="FF105" s="1"/>
      <c r="FG105" s="1"/>
      <c r="FH105" s="1">
        <v>16954</v>
      </c>
      <c r="FI105" s="1">
        <v>95360</v>
      </c>
      <c r="FJ105" s="1">
        <v>1381419</v>
      </c>
      <c r="FK105" s="1">
        <v>2026231</v>
      </c>
      <c r="FL105" s="1"/>
      <c r="FM105" s="1"/>
      <c r="FN105" s="1">
        <v>789661</v>
      </c>
      <c r="FO105" s="1">
        <v>431115</v>
      </c>
      <c r="FP105" s="1">
        <v>70092</v>
      </c>
      <c r="FQ105" s="1">
        <v>74601</v>
      </c>
      <c r="FR105" s="1">
        <v>52494</v>
      </c>
      <c r="FS105" s="1">
        <v>1941</v>
      </c>
      <c r="FT105" s="1">
        <v>618299</v>
      </c>
      <c r="FU105" s="1">
        <v>2183000</v>
      </c>
      <c r="FV105" s="1">
        <v>17984937</v>
      </c>
      <c r="FW105" s="1">
        <v>26654819</v>
      </c>
      <c r="FX105" s="1"/>
      <c r="FY105" s="1"/>
      <c r="FZ105" s="1">
        <v>37683</v>
      </c>
      <c r="GA105" s="1">
        <v>12968</v>
      </c>
      <c r="GB105" s="1">
        <v>36217232</v>
      </c>
      <c r="GC105" s="1">
        <v>40257599</v>
      </c>
      <c r="GD105" s="1">
        <v>38886419</v>
      </c>
      <c r="GE105" s="1">
        <v>46489329</v>
      </c>
    </row>
    <row r="106" spans="1:187" s="3" customFormat="1" ht="12" x14ac:dyDescent="0.2">
      <c r="A106" s="1">
        <v>20006</v>
      </c>
      <c r="B106" s="1">
        <v>0</v>
      </c>
      <c r="C106" s="1">
        <v>200846040</v>
      </c>
      <c r="D106" s="1" t="s">
        <v>142</v>
      </c>
      <c r="E106" s="1">
        <v>26</v>
      </c>
      <c r="F106" s="1">
        <v>9</v>
      </c>
      <c r="G106" s="1">
        <v>0</v>
      </c>
      <c r="H106" s="1">
        <v>1</v>
      </c>
      <c r="I106" s="1">
        <v>2021</v>
      </c>
      <c r="J106" s="1">
        <v>4</v>
      </c>
      <c r="K106" s="1" t="s">
        <v>0</v>
      </c>
      <c r="L106" s="1">
        <v>2</v>
      </c>
      <c r="M106" s="1">
        <v>30</v>
      </c>
      <c r="N106" s="1">
        <v>0</v>
      </c>
      <c r="O106" s="1">
        <v>44621.472083333334</v>
      </c>
      <c r="P106" s="1">
        <v>12281307.59</v>
      </c>
      <c r="Q106" s="1">
        <v>12280866.960000001</v>
      </c>
      <c r="R106" s="1">
        <v>10660373.73</v>
      </c>
      <c r="S106" s="1">
        <v>11064820.890000001</v>
      </c>
      <c r="T106" s="1">
        <v>1620933.86</v>
      </c>
      <c r="U106" s="1">
        <v>1216046.07</v>
      </c>
      <c r="V106" s="1">
        <v>119951.32</v>
      </c>
      <c r="W106" s="1">
        <v>119951.32</v>
      </c>
      <c r="X106" s="1">
        <v>119951.32</v>
      </c>
      <c r="Y106" s="1">
        <v>119951.32</v>
      </c>
      <c r="Z106" s="1">
        <v>0</v>
      </c>
      <c r="AA106" s="1">
        <v>0</v>
      </c>
      <c r="AB106" s="1">
        <v>9576285.2300000004</v>
      </c>
      <c r="AC106" s="1">
        <v>6798892.7300000004</v>
      </c>
      <c r="AD106" s="1">
        <v>5811520.2999999998</v>
      </c>
      <c r="AE106" s="1">
        <v>5811520.2999999998</v>
      </c>
      <c r="AF106" s="1">
        <v>777180.28</v>
      </c>
      <c r="AG106" s="1">
        <v>913549.78</v>
      </c>
      <c r="AH106" s="1">
        <v>2987584.65</v>
      </c>
      <c r="AI106" s="1">
        <v>73822.649999999994</v>
      </c>
      <c r="AJ106" s="1"/>
      <c r="AK106" s="1"/>
      <c r="AL106" s="1"/>
      <c r="AM106" s="1"/>
      <c r="AN106" s="1">
        <v>251979.53</v>
      </c>
      <c r="AO106" s="1">
        <v>95000</v>
      </c>
      <c r="AP106" s="1">
        <v>809205.73</v>
      </c>
      <c r="AQ106" s="1">
        <v>809205.73</v>
      </c>
      <c r="AR106" s="1">
        <v>11284.44</v>
      </c>
      <c r="AS106" s="1">
        <v>10139.209999999999</v>
      </c>
      <c r="AT106" s="1"/>
      <c r="AU106" s="1"/>
      <c r="AV106" s="2">
        <v>12269688.789999999</v>
      </c>
      <c r="AW106" s="1">
        <v>8929283.7400000002</v>
      </c>
      <c r="AX106" s="1">
        <v>22753298.18</v>
      </c>
      <c r="AY106" s="1">
        <v>27477899.280000001</v>
      </c>
      <c r="AZ106" s="1">
        <v>5790989.7300000004</v>
      </c>
      <c r="BA106" s="1">
        <v>6027047.5599999996</v>
      </c>
      <c r="BB106" s="1">
        <v>5654136.29</v>
      </c>
      <c r="BC106" s="1">
        <v>12033311.310000001</v>
      </c>
      <c r="BD106" s="1">
        <v>10720028.390000001</v>
      </c>
      <c r="BE106" s="1">
        <v>8879948.8800000008</v>
      </c>
      <c r="BF106" s="1">
        <v>588143.77</v>
      </c>
      <c r="BG106" s="1">
        <v>537591.53</v>
      </c>
      <c r="BH106" s="1">
        <v>2164.25</v>
      </c>
      <c r="BI106" s="1"/>
      <c r="BJ106" s="1"/>
      <c r="BK106" s="1"/>
      <c r="BL106" s="1">
        <v>14983825.5</v>
      </c>
      <c r="BM106" s="1">
        <v>9645335.8100000005</v>
      </c>
      <c r="BN106" s="1"/>
      <c r="BO106" s="1"/>
      <c r="BP106" s="1">
        <v>5964527.7999999998</v>
      </c>
      <c r="BQ106" s="1">
        <v>4093259.3</v>
      </c>
      <c r="BR106" s="1"/>
      <c r="BS106" s="1"/>
      <c r="BT106" s="1"/>
      <c r="BU106" s="1"/>
      <c r="BV106" s="1">
        <v>585737.26</v>
      </c>
      <c r="BW106" s="1">
        <v>13991.83</v>
      </c>
      <c r="BX106" s="1">
        <v>5972654.0300000003</v>
      </c>
      <c r="BY106" s="1">
        <v>4010506.26</v>
      </c>
      <c r="BZ106" s="1">
        <v>956366.83</v>
      </c>
      <c r="CA106" s="1">
        <v>838311.56</v>
      </c>
      <c r="CB106" s="1">
        <v>33879.17</v>
      </c>
      <c r="CC106" s="1">
        <v>45309.24</v>
      </c>
      <c r="CD106" s="1"/>
      <c r="CE106" s="1"/>
      <c r="CF106" s="1">
        <v>683389.17</v>
      </c>
      <c r="CG106" s="1">
        <v>58207.839999999997</v>
      </c>
      <c r="CH106" s="1">
        <v>787271.24</v>
      </c>
      <c r="CI106" s="1">
        <v>585749.78</v>
      </c>
      <c r="CJ106" s="1">
        <v>146496.14000000001</v>
      </c>
      <c r="CK106" s="1">
        <v>3859754.17</v>
      </c>
      <c r="CL106" s="1"/>
      <c r="CM106" s="1"/>
      <c r="CN106" s="1">
        <v>2016.4</v>
      </c>
      <c r="CO106" s="1">
        <v>3856500.58</v>
      </c>
      <c r="CP106" s="1">
        <v>143529.24</v>
      </c>
      <c r="CQ106" s="1">
        <v>1042.58</v>
      </c>
      <c r="CR106" s="1">
        <v>950.5</v>
      </c>
      <c r="CS106" s="1">
        <v>2211.0100000000002</v>
      </c>
      <c r="CT106" s="1">
        <v>430657.3</v>
      </c>
      <c r="CU106" s="1">
        <v>414442.3</v>
      </c>
      <c r="CV106" s="1">
        <v>42685.7</v>
      </c>
      <c r="CW106" s="1">
        <v>234793.11</v>
      </c>
      <c r="CX106" s="2">
        <v>38359127.07</v>
      </c>
      <c r="CY106" s="1">
        <v>41632224.670000002</v>
      </c>
      <c r="CZ106" s="1">
        <v>50628815.859999999</v>
      </c>
      <c r="DA106" s="1">
        <v>50561508.409999996</v>
      </c>
      <c r="DB106" s="1">
        <v>17183464.719999999</v>
      </c>
      <c r="DC106" s="1">
        <v>17183464.719999999</v>
      </c>
      <c r="DD106" s="1">
        <v>366718.5</v>
      </c>
      <c r="DE106" s="1">
        <v>366718.5</v>
      </c>
      <c r="DF106" s="1">
        <v>3527830.67</v>
      </c>
      <c r="DG106" s="1">
        <v>3540184.77</v>
      </c>
      <c r="DH106" s="1"/>
      <c r="DI106" s="1"/>
      <c r="DJ106" s="1">
        <v>15628409.210000001</v>
      </c>
      <c r="DK106" s="1">
        <v>12767211.27</v>
      </c>
      <c r="DL106" s="24"/>
      <c r="DM106" s="24"/>
      <c r="DN106" s="1"/>
      <c r="DO106" s="1"/>
      <c r="DP106" s="2">
        <v>36706423.100000001</v>
      </c>
      <c r="DQ106" s="1">
        <v>33857579.259999998</v>
      </c>
      <c r="DR106" s="2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2">
        <v>13922392.76</v>
      </c>
      <c r="EQ106" s="1">
        <v>16703929.15</v>
      </c>
      <c r="ER106" s="1">
        <v>10931541.550000001</v>
      </c>
      <c r="ES106" s="1">
        <v>11617458.68</v>
      </c>
      <c r="ET106" s="1"/>
      <c r="EU106" s="1"/>
      <c r="EV106" s="1">
        <v>4041028.32</v>
      </c>
      <c r="EW106" s="1">
        <v>6287917.8799999999</v>
      </c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>
        <v>816035.17</v>
      </c>
      <c r="FI106" s="1">
        <v>660592.76</v>
      </c>
      <c r="FJ106" s="1">
        <v>913562.63</v>
      </c>
      <c r="FK106" s="1">
        <v>595036.51</v>
      </c>
      <c r="FL106" s="1">
        <v>211929.09</v>
      </c>
      <c r="FM106" s="1"/>
      <c r="FN106" s="1">
        <v>482770.87</v>
      </c>
      <c r="FO106" s="1">
        <v>536722.19999999995</v>
      </c>
      <c r="FP106" s="1">
        <v>3195746.11</v>
      </c>
      <c r="FQ106" s="1">
        <v>2841497.65</v>
      </c>
      <c r="FR106" s="1">
        <v>625048.09</v>
      </c>
      <c r="FS106" s="1">
        <v>630631.62</v>
      </c>
      <c r="FT106" s="1">
        <v>1986000</v>
      </c>
      <c r="FU106" s="1"/>
      <c r="FV106" s="1">
        <v>1004851.21</v>
      </c>
      <c r="FW106" s="1">
        <v>5086470.47</v>
      </c>
      <c r="FX106" s="1"/>
      <c r="FY106" s="1"/>
      <c r="FZ106" s="1">
        <v>645421.27</v>
      </c>
      <c r="GA106" s="1">
        <v>65060.06</v>
      </c>
      <c r="GB106" s="1">
        <v>13922392.76</v>
      </c>
      <c r="GC106" s="1">
        <v>16703929.15</v>
      </c>
      <c r="GD106" s="1">
        <v>50628815.859999999</v>
      </c>
      <c r="GE106" s="1">
        <v>50561508.409999996</v>
      </c>
    </row>
    <row r="107" spans="1:187" s="3" customFormat="1" ht="12" x14ac:dyDescent="0.2">
      <c r="A107" s="1">
        <v>20006</v>
      </c>
      <c r="B107" s="1">
        <v>0</v>
      </c>
      <c r="C107" s="1">
        <v>200846040</v>
      </c>
      <c r="D107" s="1" t="s">
        <v>142</v>
      </c>
      <c r="E107" s="1">
        <v>26</v>
      </c>
      <c r="F107" s="1">
        <v>9</v>
      </c>
      <c r="G107" s="1">
        <v>0</v>
      </c>
      <c r="H107" s="1">
        <v>1</v>
      </c>
      <c r="I107" s="1">
        <v>2020</v>
      </c>
      <c r="J107" s="1">
        <v>4</v>
      </c>
      <c r="K107" s="1" t="s">
        <v>0</v>
      </c>
      <c r="L107" s="1">
        <v>1</v>
      </c>
      <c r="M107" s="1">
        <v>30</v>
      </c>
      <c r="N107" s="1">
        <v>0</v>
      </c>
      <c r="O107" s="1">
        <v>44242.897349537037</v>
      </c>
      <c r="P107" s="1">
        <v>12376653.130000001</v>
      </c>
      <c r="Q107" s="1">
        <v>12281307.59</v>
      </c>
      <c r="R107" s="1">
        <v>10508613.25</v>
      </c>
      <c r="S107" s="1">
        <v>10660373.73</v>
      </c>
      <c r="T107" s="1">
        <v>1868039.88</v>
      </c>
      <c r="U107" s="1">
        <v>1620933.86</v>
      </c>
      <c r="V107" s="1">
        <v>119951.32</v>
      </c>
      <c r="W107" s="1">
        <v>119951.32</v>
      </c>
      <c r="X107" s="1">
        <v>119951.32</v>
      </c>
      <c r="Y107" s="1">
        <v>119951.32</v>
      </c>
      <c r="Z107" s="1">
        <v>0</v>
      </c>
      <c r="AA107" s="1">
        <v>0</v>
      </c>
      <c r="AB107" s="1">
        <v>9826285.2300000004</v>
      </c>
      <c r="AC107" s="1">
        <v>9576285.2300000004</v>
      </c>
      <c r="AD107" s="1">
        <v>5811520.29</v>
      </c>
      <c r="AE107" s="1">
        <v>5811520.2999999998</v>
      </c>
      <c r="AF107" s="1">
        <v>1027180.29</v>
      </c>
      <c r="AG107" s="1">
        <v>777180.28</v>
      </c>
      <c r="AH107" s="1">
        <v>2987584.65</v>
      </c>
      <c r="AI107" s="1">
        <v>2987584.65</v>
      </c>
      <c r="AJ107" s="1"/>
      <c r="AK107" s="1"/>
      <c r="AL107" s="1"/>
      <c r="AM107" s="1"/>
      <c r="AN107" s="1">
        <v>251979.53</v>
      </c>
      <c r="AO107" s="1">
        <v>251979.53</v>
      </c>
      <c r="AP107" s="1">
        <v>914010.11</v>
      </c>
      <c r="AQ107" s="1">
        <v>809205.73</v>
      </c>
      <c r="AR107" s="1">
        <v>11284.44</v>
      </c>
      <c r="AS107" s="1">
        <v>11284.44</v>
      </c>
      <c r="AT107" s="1"/>
      <c r="AU107" s="1"/>
      <c r="AV107" s="2">
        <v>12871599.189999999</v>
      </c>
      <c r="AW107" s="1">
        <v>12269688.789999999</v>
      </c>
      <c r="AX107" s="1">
        <v>21306813.309999999</v>
      </c>
      <c r="AY107" s="1">
        <v>22753298.18</v>
      </c>
      <c r="AZ107" s="1">
        <v>8297891.0599999996</v>
      </c>
      <c r="BA107" s="1">
        <v>5790989.7300000004</v>
      </c>
      <c r="BB107" s="1">
        <v>794745.26</v>
      </c>
      <c r="BC107" s="1">
        <v>5654136.29</v>
      </c>
      <c r="BD107" s="1">
        <v>11574719.91</v>
      </c>
      <c r="BE107" s="1">
        <v>10720028.390000001</v>
      </c>
      <c r="BF107" s="1">
        <v>639457.07999999996</v>
      </c>
      <c r="BG107" s="1">
        <v>588143.77</v>
      </c>
      <c r="BH107" s="1">
        <v>2164.25</v>
      </c>
      <c r="BI107" s="1">
        <v>2164.25</v>
      </c>
      <c r="BJ107" s="1"/>
      <c r="BK107" s="1"/>
      <c r="BL107" s="1">
        <v>16466658.91</v>
      </c>
      <c r="BM107" s="1">
        <v>14983825.5</v>
      </c>
      <c r="BN107" s="1"/>
      <c r="BO107" s="1"/>
      <c r="BP107" s="1">
        <v>6482727.5700000003</v>
      </c>
      <c r="BQ107" s="1">
        <v>5964527.7999999998</v>
      </c>
      <c r="BR107" s="1"/>
      <c r="BS107" s="1"/>
      <c r="BT107" s="1"/>
      <c r="BU107" s="1"/>
      <c r="BV107" s="1">
        <v>423148.65</v>
      </c>
      <c r="BW107" s="1">
        <v>585737.26</v>
      </c>
      <c r="BX107" s="1">
        <v>6215191.4000000004</v>
      </c>
      <c r="BY107" s="1">
        <v>5972654.0300000003</v>
      </c>
      <c r="BZ107" s="1">
        <v>1503282.1</v>
      </c>
      <c r="CA107" s="1">
        <v>956366.83</v>
      </c>
      <c r="CB107" s="1">
        <v>33879.17</v>
      </c>
      <c r="CC107" s="1">
        <v>33879.17</v>
      </c>
      <c r="CD107" s="1"/>
      <c r="CE107" s="1"/>
      <c r="CF107" s="1">
        <v>912340.01</v>
      </c>
      <c r="CG107" s="1">
        <v>683389.17</v>
      </c>
      <c r="CH107" s="1">
        <v>896090.01</v>
      </c>
      <c r="CI107" s="1">
        <v>787271.24</v>
      </c>
      <c r="CJ107" s="1">
        <v>931970.16</v>
      </c>
      <c r="CK107" s="1">
        <v>146496.14000000001</v>
      </c>
      <c r="CL107" s="1"/>
      <c r="CM107" s="1"/>
      <c r="CN107" s="1">
        <v>733696.51</v>
      </c>
      <c r="CO107" s="1">
        <v>2016.4</v>
      </c>
      <c r="CP107" s="1">
        <v>184482.03</v>
      </c>
      <c r="CQ107" s="1">
        <v>143529.24</v>
      </c>
      <c r="CR107" s="1">
        <v>13791.62</v>
      </c>
      <c r="CS107" s="1">
        <v>950.5</v>
      </c>
      <c r="CT107" s="1">
        <v>457494.1</v>
      </c>
      <c r="CU107" s="1">
        <v>430657.3</v>
      </c>
      <c r="CV107" s="1">
        <v>42685.7</v>
      </c>
      <c r="CW107" s="1">
        <v>42685.7</v>
      </c>
      <c r="CX107" s="2">
        <v>39207786.43</v>
      </c>
      <c r="CY107" s="1">
        <v>38359127.07</v>
      </c>
      <c r="CZ107" s="1">
        <v>52079385.619999997</v>
      </c>
      <c r="DA107" s="1">
        <v>50628815.859999999</v>
      </c>
      <c r="DB107" s="1">
        <v>17183464.719999999</v>
      </c>
      <c r="DC107" s="1">
        <v>17183464.719999999</v>
      </c>
      <c r="DD107" s="1">
        <v>366718.5</v>
      </c>
      <c r="DE107" s="1">
        <v>366718.5</v>
      </c>
      <c r="DF107" s="1">
        <v>3807502.63</v>
      </c>
      <c r="DG107" s="1">
        <v>3527830.67</v>
      </c>
      <c r="DH107" s="1"/>
      <c r="DI107" s="1"/>
      <c r="DJ107" s="1">
        <v>15397192.529999999</v>
      </c>
      <c r="DK107" s="1">
        <v>15628409.210000001</v>
      </c>
      <c r="DL107" s="24"/>
      <c r="DM107" s="24"/>
      <c r="DN107" s="1"/>
      <c r="DO107" s="1"/>
      <c r="DP107" s="2">
        <v>36754878.380000003</v>
      </c>
      <c r="DQ107" s="1">
        <v>36706423.100000001</v>
      </c>
      <c r="DR107" s="2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2">
        <v>15324507.24</v>
      </c>
      <c r="EQ107" s="1">
        <v>13922392.76</v>
      </c>
      <c r="ER107" s="1">
        <v>10463656.029999999</v>
      </c>
      <c r="ES107" s="1">
        <v>10931541.550000001</v>
      </c>
      <c r="ET107" s="1"/>
      <c r="EU107" s="1"/>
      <c r="EV107" s="1">
        <v>2929696.02</v>
      </c>
      <c r="EW107" s="1">
        <v>4041028.32</v>
      </c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>
        <v>1565615.54</v>
      </c>
      <c r="FI107" s="1">
        <v>816035.17</v>
      </c>
      <c r="FJ107" s="1">
        <v>982239.21</v>
      </c>
      <c r="FK107" s="1">
        <v>913562.63</v>
      </c>
      <c r="FL107" s="1">
        <v>211929.09</v>
      </c>
      <c r="FM107" s="1">
        <v>211929.09</v>
      </c>
      <c r="FN107" s="1">
        <v>414754.25</v>
      </c>
      <c r="FO107" s="1">
        <v>482770.87</v>
      </c>
      <c r="FP107" s="1">
        <v>3195746.11</v>
      </c>
      <c r="FQ107" s="1">
        <v>3195746.11</v>
      </c>
      <c r="FR107" s="1">
        <v>941445.7</v>
      </c>
      <c r="FS107" s="1">
        <v>625048.09</v>
      </c>
      <c r="FT107" s="1">
        <v>2986000</v>
      </c>
      <c r="FU107" s="1">
        <v>1986000</v>
      </c>
      <c r="FV107" s="1">
        <v>1874851.21</v>
      </c>
      <c r="FW107" s="1">
        <v>1004851.21</v>
      </c>
      <c r="FX107" s="1"/>
      <c r="FY107" s="1"/>
      <c r="FZ107" s="1">
        <v>222230.11</v>
      </c>
      <c r="GA107" s="1">
        <v>645421.27</v>
      </c>
      <c r="GB107" s="1">
        <v>15324507.24</v>
      </c>
      <c r="GC107" s="1">
        <v>13922392.76</v>
      </c>
      <c r="GD107" s="1">
        <v>52079385.619999997</v>
      </c>
      <c r="GE107" s="1">
        <v>50628815.859999999</v>
      </c>
    </row>
    <row r="108" spans="1:187" s="3" customFormat="1" ht="12" x14ac:dyDescent="0.2">
      <c r="A108" s="1">
        <v>20006</v>
      </c>
      <c r="B108" s="1">
        <v>0</v>
      </c>
      <c r="C108" s="1">
        <v>200846040</v>
      </c>
      <c r="D108" s="1" t="s">
        <v>142</v>
      </c>
      <c r="E108" s="1">
        <v>26</v>
      </c>
      <c r="F108" s="1">
        <v>9</v>
      </c>
      <c r="G108" s="1">
        <v>0</v>
      </c>
      <c r="H108" s="1">
        <v>1</v>
      </c>
      <c r="I108" s="1">
        <v>2019</v>
      </c>
      <c r="J108" s="1">
        <v>4</v>
      </c>
      <c r="K108" s="1" t="s">
        <v>0</v>
      </c>
      <c r="L108" s="1">
        <v>1</v>
      </c>
      <c r="M108" s="1">
        <v>30</v>
      </c>
      <c r="N108" s="1">
        <v>0</v>
      </c>
      <c r="O108" s="1">
        <v>43875.579282407409</v>
      </c>
      <c r="P108" s="1">
        <v>9406782.1999999993</v>
      </c>
      <c r="Q108" s="1">
        <v>9627477.6500000004</v>
      </c>
      <c r="R108" s="1">
        <v>7000594</v>
      </c>
      <c r="S108" s="1">
        <v>7743720.0199999996</v>
      </c>
      <c r="T108" s="1">
        <v>2406188.2000000002</v>
      </c>
      <c r="U108" s="1">
        <v>1883757.63</v>
      </c>
      <c r="V108" s="1">
        <v>119951.3</v>
      </c>
      <c r="W108" s="1">
        <v>109523.42</v>
      </c>
      <c r="X108" s="1">
        <v>119951.3</v>
      </c>
      <c r="Y108" s="1">
        <v>109523.42</v>
      </c>
      <c r="Z108" s="1">
        <v>0</v>
      </c>
      <c r="AA108" s="1">
        <v>0</v>
      </c>
      <c r="AB108" s="1">
        <v>9576286.2799999993</v>
      </c>
      <c r="AC108" s="1">
        <v>9576286.2799999993</v>
      </c>
      <c r="AD108" s="1">
        <v>264303.40000000002</v>
      </c>
      <c r="AE108" s="1">
        <v>264303.40000000002</v>
      </c>
      <c r="AF108" s="1">
        <v>777180.28</v>
      </c>
      <c r="AG108" s="1">
        <v>777180.28</v>
      </c>
      <c r="AH108" s="1">
        <v>8534802.5999999996</v>
      </c>
      <c r="AI108" s="1">
        <v>8534802.5999999996</v>
      </c>
      <c r="AJ108" s="1"/>
      <c r="AK108" s="1"/>
      <c r="AL108" s="1"/>
      <c r="AM108" s="1"/>
      <c r="AN108" s="1">
        <v>197148.9</v>
      </c>
      <c r="AO108" s="1">
        <v>95000</v>
      </c>
      <c r="AP108" s="1">
        <v>950330.4</v>
      </c>
      <c r="AQ108" s="1">
        <v>0</v>
      </c>
      <c r="AR108" s="1">
        <v>11284.4</v>
      </c>
      <c r="AS108" s="1">
        <v>0</v>
      </c>
      <c r="AT108" s="1"/>
      <c r="AU108" s="1"/>
      <c r="AV108" s="2">
        <v>13141238.18</v>
      </c>
      <c r="AW108" s="1">
        <v>11555043.91</v>
      </c>
      <c r="AX108" s="1">
        <v>7405853.7999999998</v>
      </c>
      <c r="AY108" s="1">
        <v>23095441.34</v>
      </c>
      <c r="AZ108" s="1">
        <v>4393830.4000000004</v>
      </c>
      <c r="BA108" s="1">
        <v>7642781.4199999999</v>
      </c>
      <c r="BB108" s="1">
        <v>855178</v>
      </c>
      <c r="BC108" s="1">
        <v>1204323.68</v>
      </c>
      <c r="BD108" s="1">
        <v>1278086.3999999999</v>
      </c>
      <c r="BE108" s="1">
        <v>13608879.16</v>
      </c>
      <c r="BF108" s="1">
        <v>878759</v>
      </c>
      <c r="BG108" s="1">
        <v>639457.07999999996</v>
      </c>
      <c r="BH108" s="1"/>
      <c r="BI108" s="1"/>
      <c r="BJ108" s="1"/>
      <c r="BK108" s="1"/>
      <c r="BL108" s="1">
        <v>22681076.5</v>
      </c>
      <c r="BM108" s="1">
        <v>2009067.55</v>
      </c>
      <c r="BN108" s="1"/>
      <c r="BO108" s="1"/>
      <c r="BP108" s="1">
        <v>21996911.199999999</v>
      </c>
      <c r="BQ108" s="1">
        <v>1161561.02</v>
      </c>
      <c r="BR108" s="1"/>
      <c r="BS108" s="1"/>
      <c r="BT108" s="1"/>
      <c r="BU108" s="1"/>
      <c r="BV108" s="1"/>
      <c r="BW108" s="1"/>
      <c r="BX108" s="1"/>
      <c r="BY108" s="1">
        <v>758655</v>
      </c>
      <c r="BZ108" s="1"/>
      <c r="CA108" s="1">
        <v>19740.53</v>
      </c>
      <c r="CB108" s="1"/>
      <c r="CC108" s="1"/>
      <c r="CD108" s="1"/>
      <c r="CE108" s="1"/>
      <c r="CF108" s="1">
        <v>21408</v>
      </c>
      <c r="CG108" s="1">
        <v>9350</v>
      </c>
      <c r="CH108" s="1">
        <v>662757.30000000005</v>
      </c>
      <c r="CI108" s="1">
        <v>59761</v>
      </c>
      <c r="CJ108" s="1">
        <v>8265.91</v>
      </c>
      <c r="CK108" s="1">
        <v>303701.57</v>
      </c>
      <c r="CL108" s="1"/>
      <c r="CM108" s="1"/>
      <c r="CN108" s="1">
        <v>0</v>
      </c>
      <c r="CO108" s="1">
        <v>128035.75</v>
      </c>
      <c r="CP108" s="1">
        <v>8265.91</v>
      </c>
      <c r="CQ108" s="1">
        <v>173795.82</v>
      </c>
      <c r="CR108" s="1">
        <v>0</v>
      </c>
      <c r="CS108" s="1">
        <v>1870</v>
      </c>
      <c r="CT108" s="1">
        <v>1174013.92</v>
      </c>
      <c r="CU108" s="1">
        <v>47307.9</v>
      </c>
      <c r="CV108" s="1"/>
      <c r="CW108" s="1"/>
      <c r="CX108" s="2">
        <v>31269210.129999999</v>
      </c>
      <c r="CY108" s="1">
        <v>25455518.359999999</v>
      </c>
      <c r="CZ108" s="1">
        <v>44410448.310000002</v>
      </c>
      <c r="DA108" s="1">
        <v>37010562.270000003</v>
      </c>
      <c r="DB108" s="1">
        <v>17183464.699999999</v>
      </c>
      <c r="DC108" s="1">
        <v>17183464.699999999</v>
      </c>
      <c r="DD108" s="1">
        <v>366719.6</v>
      </c>
      <c r="DE108" s="1">
        <v>366719.6</v>
      </c>
      <c r="DF108" s="1">
        <v>3491235.8</v>
      </c>
      <c r="DG108" s="1">
        <v>3823921.61</v>
      </c>
      <c r="DH108" s="1"/>
      <c r="DI108" s="1"/>
      <c r="DJ108" s="1">
        <v>8107172.7999999998</v>
      </c>
      <c r="DK108" s="1">
        <v>4581260.04</v>
      </c>
      <c r="DL108" s="24"/>
      <c r="DM108" s="24"/>
      <c r="DN108" s="1"/>
      <c r="DO108" s="1"/>
      <c r="DP108" s="2">
        <v>29148592.899999999</v>
      </c>
      <c r="DQ108" s="1">
        <v>25955365.949999999</v>
      </c>
      <c r="DR108" s="2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2">
        <v>15261855.41</v>
      </c>
      <c r="EQ108" s="1">
        <v>11055196.32</v>
      </c>
      <c r="ER108" s="1">
        <v>10911855.41</v>
      </c>
      <c r="ES108" s="1">
        <v>6755196.3200000003</v>
      </c>
      <c r="ET108" s="1"/>
      <c r="EU108" s="1"/>
      <c r="EV108" s="1">
        <v>2599814.5</v>
      </c>
      <c r="EW108" s="1">
        <v>1625100</v>
      </c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>
        <v>1097964.2</v>
      </c>
      <c r="FI108" s="1">
        <v>132700</v>
      </c>
      <c r="FJ108" s="1">
        <v>2099355.5</v>
      </c>
      <c r="FK108" s="1">
        <v>421858.42</v>
      </c>
      <c r="FL108" s="1"/>
      <c r="FM108" s="1"/>
      <c r="FN108" s="1">
        <v>960025</v>
      </c>
      <c r="FO108" s="1">
        <v>146914.95000000001</v>
      </c>
      <c r="FP108" s="1"/>
      <c r="FQ108" s="1">
        <v>3355287.95</v>
      </c>
      <c r="FR108" s="1">
        <v>1031415.91</v>
      </c>
      <c r="FS108" s="1">
        <v>1058178</v>
      </c>
      <c r="FT108" s="1">
        <v>3000000</v>
      </c>
      <c r="FU108" s="1">
        <v>3000000</v>
      </c>
      <c r="FV108" s="1">
        <v>1350000</v>
      </c>
      <c r="FW108" s="1">
        <v>1300000</v>
      </c>
      <c r="FX108" s="1"/>
      <c r="FY108" s="1"/>
      <c r="FZ108" s="1">
        <v>3123280.3</v>
      </c>
      <c r="GA108" s="1">
        <v>15157</v>
      </c>
      <c r="GB108" s="1">
        <v>15261855.41</v>
      </c>
      <c r="GC108" s="1">
        <v>11055196.32</v>
      </c>
      <c r="GD108" s="1">
        <v>44410448.310000002</v>
      </c>
      <c r="GE108" s="1">
        <v>37010562.270000003</v>
      </c>
    </row>
    <row r="109" spans="1:187" s="3" customFormat="1" x14ac:dyDescent="0.25">
      <c r="A109" s="1">
        <v>20006</v>
      </c>
      <c r="B109" s="1">
        <v>0</v>
      </c>
      <c r="C109" s="3">
        <v>200846040</v>
      </c>
      <c r="D109" s="3" t="s">
        <v>142</v>
      </c>
      <c r="E109" s="4">
        <v>26</v>
      </c>
      <c r="F109" s="4">
        <v>9</v>
      </c>
      <c r="G109" s="4">
        <v>0</v>
      </c>
      <c r="H109" s="4">
        <v>1</v>
      </c>
      <c r="I109" s="1">
        <v>2018</v>
      </c>
      <c r="J109" s="1">
        <v>4</v>
      </c>
      <c r="K109" s="3" t="s">
        <v>0</v>
      </c>
      <c r="L109" s="1">
        <v>1</v>
      </c>
      <c r="M109" s="1">
        <v>30</v>
      </c>
      <c r="N109" s="5">
        <v>0</v>
      </c>
      <c r="O109" s="6">
        <v>43510.724641203706</v>
      </c>
      <c r="P109" s="1">
        <v>12125134.800000001</v>
      </c>
      <c r="Q109" s="1">
        <v>12161974.199999999</v>
      </c>
      <c r="R109" s="1">
        <v>9216805.6999999993</v>
      </c>
      <c r="S109" s="1">
        <v>9914601</v>
      </c>
      <c r="T109" s="1">
        <v>2908329.1</v>
      </c>
      <c r="U109" s="1">
        <v>2247373.2000000002</v>
      </c>
      <c r="V109" s="1">
        <v>119951.3</v>
      </c>
      <c r="W109" s="1">
        <v>119951.3</v>
      </c>
      <c r="X109" s="1">
        <v>115006.6</v>
      </c>
      <c r="Y109" s="1">
        <v>119951.3</v>
      </c>
      <c r="Z109" s="1">
        <v>4944.7</v>
      </c>
      <c r="AA109" s="1">
        <v>0</v>
      </c>
      <c r="AB109" s="1">
        <v>9804673</v>
      </c>
      <c r="AC109" s="1">
        <v>9804673</v>
      </c>
      <c r="AD109" s="1">
        <v>264303.40000000002</v>
      </c>
      <c r="AE109" s="1">
        <v>264303.40000000002</v>
      </c>
      <c r="AF109" s="1">
        <v>1005567</v>
      </c>
      <c r="AG109" s="1">
        <v>1005567</v>
      </c>
      <c r="AH109" s="1">
        <v>8534802.5999999996</v>
      </c>
      <c r="AI109" s="1">
        <v>8534802.5999999996</v>
      </c>
      <c r="AJ109" s="1"/>
      <c r="AK109" s="1"/>
      <c r="AL109" s="1"/>
      <c r="AM109" s="1"/>
      <c r="AN109" s="1">
        <v>197178.9</v>
      </c>
      <c r="AO109" s="1">
        <v>197148.9</v>
      </c>
      <c r="AP109" s="1">
        <v>950330.4</v>
      </c>
      <c r="AQ109" s="1">
        <v>950330.4</v>
      </c>
      <c r="AR109" s="1">
        <v>11284.4</v>
      </c>
      <c r="AS109" s="1">
        <v>11284.4</v>
      </c>
      <c r="AT109" s="1"/>
      <c r="AU109" s="1"/>
      <c r="AV109" s="2">
        <v>13876740.5</v>
      </c>
      <c r="AW109" s="1">
        <v>13210809.9</v>
      </c>
      <c r="AX109" s="1">
        <v>13398106.1</v>
      </c>
      <c r="AY109" s="1">
        <v>7405853.7999999998</v>
      </c>
      <c r="AZ109" s="1">
        <v>5572046.7999999998</v>
      </c>
      <c r="BA109" s="1">
        <v>4393830.4000000004</v>
      </c>
      <c r="BB109" s="1">
        <v>324200</v>
      </c>
      <c r="BC109" s="1">
        <v>855178</v>
      </c>
      <c r="BD109" s="1">
        <v>5958026.2000000002</v>
      </c>
      <c r="BE109" s="1">
        <v>1278086.3999999999</v>
      </c>
      <c r="BF109" s="1">
        <v>1543833.1</v>
      </c>
      <c r="BG109" s="1">
        <v>878759</v>
      </c>
      <c r="BH109" s="1">
        <v>2164.1999999999998</v>
      </c>
      <c r="BI109" s="1">
        <v>0</v>
      </c>
      <c r="BJ109" s="1"/>
      <c r="BK109" s="1"/>
      <c r="BL109" s="1">
        <v>2120572.9</v>
      </c>
      <c r="BM109" s="1">
        <v>22681076.5</v>
      </c>
      <c r="BN109" s="1"/>
      <c r="BO109" s="1"/>
      <c r="BP109" s="1">
        <v>706806</v>
      </c>
      <c r="BQ109" s="1">
        <v>21996911.199999999</v>
      </c>
      <c r="BR109" s="1"/>
      <c r="BS109" s="1"/>
      <c r="BT109" s="1"/>
      <c r="BU109" s="1"/>
      <c r="BV109" s="1">
        <v>66612.3</v>
      </c>
      <c r="BW109" s="1">
        <v>0</v>
      </c>
      <c r="BX109" s="1">
        <v>990815</v>
      </c>
      <c r="BY109" s="1"/>
      <c r="BZ109" s="1"/>
      <c r="CA109" s="1"/>
      <c r="CB109" s="1"/>
      <c r="CC109" s="1"/>
      <c r="CD109" s="1"/>
      <c r="CE109" s="1"/>
      <c r="CF109" s="1">
        <v>3697.1</v>
      </c>
      <c r="CG109" s="1">
        <v>21408</v>
      </c>
      <c r="CH109" s="1">
        <v>352642.5</v>
      </c>
      <c r="CI109" s="1">
        <v>662757.30000000005</v>
      </c>
      <c r="CJ109" s="1">
        <v>7886936.2000000002</v>
      </c>
      <c r="CK109" s="1">
        <v>8265.91</v>
      </c>
      <c r="CL109" s="1"/>
      <c r="CM109" s="1"/>
      <c r="CN109" s="1">
        <v>578906.30000000005</v>
      </c>
      <c r="CO109" s="1">
        <v>0</v>
      </c>
      <c r="CP109" s="1">
        <v>208685</v>
      </c>
      <c r="CQ109" s="1">
        <v>8265.91</v>
      </c>
      <c r="CR109" s="1">
        <v>7099344.9000000004</v>
      </c>
      <c r="CS109" s="1">
        <v>0</v>
      </c>
      <c r="CT109" s="1">
        <v>1256390.3999999999</v>
      </c>
      <c r="CU109" s="1">
        <v>1104442.2</v>
      </c>
      <c r="CV109" s="1">
        <v>16253.7</v>
      </c>
      <c r="CW109" s="1">
        <v>0</v>
      </c>
      <c r="CX109" s="2">
        <v>24680423.5</v>
      </c>
      <c r="CY109" s="1">
        <v>31199638.41</v>
      </c>
      <c r="CZ109" s="1">
        <v>38557164</v>
      </c>
      <c r="DA109" s="1">
        <v>44410448.310000002</v>
      </c>
      <c r="DB109" s="1">
        <v>11636247.800000001</v>
      </c>
      <c r="DC109" s="1">
        <v>17183464.699999999</v>
      </c>
      <c r="DD109" s="1">
        <v>5913936.5</v>
      </c>
      <c r="DE109" s="1">
        <v>366719.6</v>
      </c>
      <c r="DF109" s="1">
        <v>3385367.8</v>
      </c>
      <c r="DG109" s="1">
        <v>3491235.8</v>
      </c>
      <c r="DH109" s="1"/>
      <c r="DI109" s="1"/>
      <c r="DJ109" s="1">
        <v>4025178.3</v>
      </c>
      <c r="DK109" s="1">
        <v>8107172.7999999998</v>
      </c>
      <c r="DL109" s="24"/>
      <c r="DM109" s="24"/>
      <c r="DN109" s="1"/>
      <c r="DO109" s="1"/>
      <c r="DP109" s="2">
        <v>24960730.399999999</v>
      </c>
      <c r="DQ109" s="1">
        <v>29148592.899999999</v>
      </c>
      <c r="DR109" s="2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2">
        <v>13596433.6</v>
      </c>
      <c r="EQ109" s="1">
        <v>15261855.41</v>
      </c>
      <c r="ER109" s="1">
        <v>5496433.5999999996</v>
      </c>
      <c r="ES109" s="1">
        <v>10911855.41</v>
      </c>
      <c r="ET109" s="1"/>
      <c r="EU109" s="1"/>
      <c r="EV109" s="1">
        <v>1218551</v>
      </c>
      <c r="EW109" s="1">
        <v>2599814.5</v>
      </c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>
        <v>989101.5</v>
      </c>
      <c r="FI109" s="1">
        <v>1097964.2</v>
      </c>
      <c r="FJ109" s="1">
        <v>2018469.7</v>
      </c>
      <c r="FK109" s="1">
        <v>2099355.5</v>
      </c>
      <c r="FL109" s="1"/>
      <c r="FM109" s="1"/>
      <c r="FN109" s="1">
        <v>668327.19999999995</v>
      </c>
      <c r="FO109" s="1">
        <v>960025</v>
      </c>
      <c r="FP109" s="1"/>
      <c r="FQ109" s="1"/>
      <c r="FR109" s="1">
        <v>456947.4</v>
      </c>
      <c r="FS109" s="1">
        <v>1031415.91</v>
      </c>
      <c r="FT109" s="1">
        <v>0</v>
      </c>
      <c r="FU109" s="1">
        <v>3000000</v>
      </c>
      <c r="FV109" s="1">
        <v>8100000</v>
      </c>
      <c r="FW109" s="1">
        <v>1350000</v>
      </c>
      <c r="FX109" s="1"/>
      <c r="FY109" s="1"/>
      <c r="FZ109" s="1">
        <v>145036.79999999999</v>
      </c>
      <c r="GA109" s="1">
        <v>3123280.3</v>
      </c>
      <c r="GB109" s="1">
        <v>13596433.6</v>
      </c>
      <c r="GC109" s="1">
        <v>15261855.41</v>
      </c>
      <c r="GD109" s="1">
        <v>38557164</v>
      </c>
      <c r="GE109" s="1">
        <v>44410448.310000002</v>
      </c>
    </row>
    <row r="110" spans="1:187" s="3" customFormat="1" ht="12" x14ac:dyDescent="0.2">
      <c r="A110" s="1">
        <v>20006</v>
      </c>
      <c r="B110" s="1">
        <v>0</v>
      </c>
      <c r="C110" s="1">
        <v>201039410</v>
      </c>
      <c r="D110" s="1" t="s">
        <v>143</v>
      </c>
      <c r="E110" s="1">
        <v>30</v>
      </c>
      <c r="F110" s="1">
        <v>5</v>
      </c>
      <c r="G110" s="1">
        <v>0</v>
      </c>
      <c r="H110" s="1">
        <v>1</v>
      </c>
      <c r="I110" s="1">
        <v>2021</v>
      </c>
      <c r="J110" s="1">
        <v>4</v>
      </c>
      <c r="K110" s="1" t="s">
        <v>0</v>
      </c>
      <c r="L110" s="1">
        <v>2</v>
      </c>
      <c r="M110" s="1">
        <v>30</v>
      </c>
      <c r="N110" s="1">
        <v>0</v>
      </c>
      <c r="O110" s="1">
        <v>44681.472488425927</v>
      </c>
      <c r="P110" s="1">
        <v>3478860.5</v>
      </c>
      <c r="Q110" s="1">
        <v>2746284</v>
      </c>
      <c r="R110" s="1">
        <v>3242802.45</v>
      </c>
      <c r="S110" s="1">
        <v>2529114.77</v>
      </c>
      <c r="T110" s="1">
        <v>236058.05</v>
      </c>
      <c r="U110" s="1">
        <v>217169.23</v>
      </c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>
        <v>434860.64</v>
      </c>
      <c r="AO110" s="1">
        <v>434860.64</v>
      </c>
      <c r="AP110" s="1">
        <v>82043</v>
      </c>
      <c r="AQ110" s="1">
        <v>82043</v>
      </c>
      <c r="AR110" s="1"/>
      <c r="AS110" s="1"/>
      <c r="AT110" s="1"/>
      <c r="AU110" s="1"/>
      <c r="AV110" s="2">
        <v>752961.69</v>
      </c>
      <c r="AW110" s="1">
        <v>734072.87</v>
      </c>
      <c r="AX110" s="1">
        <v>873911.3</v>
      </c>
      <c r="AY110" s="1">
        <v>1135731.19</v>
      </c>
      <c r="AZ110" s="1">
        <v>506541.96</v>
      </c>
      <c r="BA110" s="1">
        <v>451702.65</v>
      </c>
      <c r="BB110" s="1">
        <v>138005.22</v>
      </c>
      <c r="BC110" s="1">
        <v>326579.90000000002</v>
      </c>
      <c r="BD110" s="1">
        <v>96989.91</v>
      </c>
      <c r="BE110" s="1">
        <v>233776.21</v>
      </c>
      <c r="BF110" s="1">
        <v>132374.21</v>
      </c>
      <c r="BG110" s="1">
        <v>123672.43</v>
      </c>
      <c r="BH110" s="1">
        <v>1296227.44</v>
      </c>
      <c r="BI110" s="1">
        <v>1808871.83</v>
      </c>
      <c r="BJ110" s="1"/>
      <c r="BK110" s="1"/>
      <c r="BL110" s="1">
        <v>1992759.16</v>
      </c>
      <c r="BM110" s="1">
        <v>2660533.66</v>
      </c>
      <c r="BN110" s="1"/>
      <c r="BO110" s="1"/>
      <c r="BP110" s="1">
        <v>1475265.65</v>
      </c>
      <c r="BQ110" s="1">
        <v>1266119.71</v>
      </c>
      <c r="BR110" s="1"/>
      <c r="BS110" s="1"/>
      <c r="BT110" s="1"/>
      <c r="BU110" s="1"/>
      <c r="BV110" s="1">
        <v>15667.68</v>
      </c>
      <c r="BW110" s="1"/>
      <c r="BX110" s="1">
        <v>32195.26</v>
      </c>
      <c r="BY110" s="1">
        <v>629263.18000000005</v>
      </c>
      <c r="BZ110" s="1">
        <v>157976.82</v>
      </c>
      <c r="CA110" s="1">
        <v>7528.86</v>
      </c>
      <c r="CB110" s="1"/>
      <c r="CC110" s="1">
        <v>410885.55</v>
      </c>
      <c r="CD110" s="1">
        <v>26.43</v>
      </c>
      <c r="CE110" s="1"/>
      <c r="CF110" s="1"/>
      <c r="CG110" s="1"/>
      <c r="CH110" s="1">
        <v>311627.32</v>
      </c>
      <c r="CI110" s="1">
        <v>346736.36</v>
      </c>
      <c r="CJ110" s="1">
        <v>5130.32</v>
      </c>
      <c r="CK110" s="1">
        <v>43454.14</v>
      </c>
      <c r="CL110" s="1"/>
      <c r="CM110" s="1"/>
      <c r="CN110" s="1">
        <v>4530.78</v>
      </c>
      <c r="CO110" s="1">
        <v>43454.14</v>
      </c>
      <c r="CP110" s="1">
        <v>200</v>
      </c>
      <c r="CQ110" s="1"/>
      <c r="CR110" s="1">
        <v>399.54</v>
      </c>
      <c r="CS110" s="1"/>
      <c r="CT110" s="1"/>
      <c r="CU110" s="1"/>
      <c r="CV110" s="1"/>
      <c r="CW110" s="1"/>
      <c r="CX110" s="2">
        <v>4168028.22</v>
      </c>
      <c r="CY110" s="1">
        <v>5648590.8200000003</v>
      </c>
      <c r="CZ110" s="1">
        <v>4920989.91</v>
      </c>
      <c r="DA110" s="1">
        <v>6382663.6900000004</v>
      </c>
      <c r="DB110" s="1">
        <v>1632680.3</v>
      </c>
      <c r="DC110" s="1">
        <v>3943680.3</v>
      </c>
      <c r="DD110" s="1"/>
      <c r="DE110" s="1"/>
      <c r="DF110" s="1">
        <v>270620.28000000003</v>
      </c>
      <c r="DG110" s="1">
        <v>270620.28000000003</v>
      </c>
      <c r="DH110" s="1"/>
      <c r="DI110" s="1"/>
      <c r="DJ110" s="1">
        <v>141857.59</v>
      </c>
      <c r="DK110" s="1">
        <v>159466.73000000001</v>
      </c>
      <c r="DL110" s="24">
        <v>155018.21</v>
      </c>
      <c r="DM110" s="24">
        <v>155018.21</v>
      </c>
      <c r="DN110" s="1"/>
      <c r="DO110" s="1"/>
      <c r="DP110" s="2">
        <v>2200176.38</v>
      </c>
      <c r="DQ110" s="1">
        <v>4528785.5199999996</v>
      </c>
      <c r="DR110" s="2">
        <v>55764.28</v>
      </c>
      <c r="DS110" s="1">
        <v>34574.050000000003</v>
      </c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>
        <v>55764.28</v>
      </c>
      <c r="EK110" s="1">
        <v>34574.050000000003</v>
      </c>
      <c r="EL110" s="1"/>
      <c r="EM110" s="1"/>
      <c r="EN110" s="1"/>
      <c r="EO110" s="1"/>
      <c r="EP110" s="2">
        <v>2665049.23</v>
      </c>
      <c r="EQ110" s="1">
        <v>1819304.11</v>
      </c>
      <c r="ER110" s="1">
        <v>2665049.23</v>
      </c>
      <c r="ES110" s="1">
        <v>1819304.11</v>
      </c>
      <c r="ET110" s="1"/>
      <c r="EU110" s="1"/>
      <c r="EV110" s="1">
        <v>1206427.33</v>
      </c>
      <c r="EW110" s="1">
        <v>540862.81000000006</v>
      </c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>
        <v>6042.26</v>
      </c>
      <c r="FI110" s="1">
        <v>6029.48</v>
      </c>
      <c r="FJ110" s="1">
        <v>311264.86</v>
      </c>
      <c r="FK110" s="1">
        <v>6872.5</v>
      </c>
      <c r="FL110" s="1">
        <v>282356.95</v>
      </c>
      <c r="FM110" s="1">
        <v>139179.06</v>
      </c>
      <c r="FN110" s="1">
        <v>38891.949999999997</v>
      </c>
      <c r="FO110" s="1"/>
      <c r="FP110" s="1"/>
      <c r="FQ110" s="1"/>
      <c r="FR110" s="1">
        <v>124878.64</v>
      </c>
      <c r="FS110" s="1">
        <v>121865.89</v>
      </c>
      <c r="FT110" s="1"/>
      <c r="FU110" s="1"/>
      <c r="FV110" s="1"/>
      <c r="FW110" s="1"/>
      <c r="FX110" s="1"/>
      <c r="FY110" s="1"/>
      <c r="FZ110" s="1">
        <v>695187.24</v>
      </c>
      <c r="GA110" s="1">
        <v>1004494.37</v>
      </c>
      <c r="GB110" s="1">
        <v>2720813.51</v>
      </c>
      <c r="GC110" s="1">
        <v>1853878.16</v>
      </c>
      <c r="GD110" s="1">
        <v>4920989.8899999997</v>
      </c>
      <c r="GE110" s="1">
        <v>6382663.6799999997</v>
      </c>
    </row>
    <row r="111" spans="1:187" s="3" customFormat="1" ht="12" x14ac:dyDescent="0.2">
      <c r="A111" s="1">
        <v>20006</v>
      </c>
      <c r="B111" s="1">
        <v>0</v>
      </c>
      <c r="C111" s="1">
        <v>201039410</v>
      </c>
      <c r="D111" s="1" t="s">
        <v>143</v>
      </c>
      <c r="E111" s="1">
        <v>30</v>
      </c>
      <c r="F111" s="1">
        <v>5</v>
      </c>
      <c r="G111" s="1">
        <v>0</v>
      </c>
      <c r="H111" s="1">
        <v>1</v>
      </c>
      <c r="I111" s="1">
        <v>2020</v>
      </c>
      <c r="J111" s="1">
        <v>4</v>
      </c>
      <c r="K111" s="1" t="s">
        <v>0</v>
      </c>
      <c r="L111" s="1">
        <v>1</v>
      </c>
      <c r="M111" s="1">
        <v>30</v>
      </c>
      <c r="N111" s="1">
        <v>0</v>
      </c>
      <c r="O111" s="1">
        <v>44280.491400462961</v>
      </c>
      <c r="P111" s="1">
        <v>3478860.5</v>
      </c>
      <c r="Q111" s="1">
        <v>3478860.5</v>
      </c>
      <c r="R111" s="1">
        <v>3175025.45</v>
      </c>
      <c r="S111" s="1">
        <v>3242802.45</v>
      </c>
      <c r="T111" s="1">
        <v>303835.05</v>
      </c>
      <c r="U111" s="1">
        <v>236058.05</v>
      </c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>
        <v>434860.64</v>
      </c>
      <c r="AO111" s="1">
        <v>434860.64</v>
      </c>
      <c r="AP111" s="1">
        <v>82043</v>
      </c>
      <c r="AQ111" s="1">
        <v>82043</v>
      </c>
      <c r="AR111" s="1"/>
      <c r="AS111" s="1"/>
      <c r="AT111" s="1"/>
      <c r="AU111" s="1"/>
      <c r="AV111" s="2">
        <v>820738.69</v>
      </c>
      <c r="AW111" s="1">
        <v>752961.69</v>
      </c>
      <c r="AX111" s="1">
        <v>868716.88</v>
      </c>
      <c r="AY111" s="1">
        <v>873911.3</v>
      </c>
      <c r="AZ111" s="1">
        <v>501587.36</v>
      </c>
      <c r="BA111" s="1">
        <v>506541.96</v>
      </c>
      <c r="BB111" s="1">
        <v>117790.74</v>
      </c>
      <c r="BC111" s="1">
        <v>138005.22</v>
      </c>
      <c r="BD111" s="1">
        <v>91616.57</v>
      </c>
      <c r="BE111" s="1">
        <v>96989.91</v>
      </c>
      <c r="BF111" s="1">
        <v>157722.21</v>
      </c>
      <c r="BG111" s="1">
        <v>132374.21</v>
      </c>
      <c r="BH111" s="1">
        <v>911875.09</v>
      </c>
      <c r="BI111" s="1">
        <v>1296227.44</v>
      </c>
      <c r="BJ111" s="1"/>
      <c r="BK111" s="1"/>
      <c r="BL111" s="1">
        <v>2160323.5299999998</v>
      </c>
      <c r="BM111" s="1">
        <v>1992759.16</v>
      </c>
      <c r="BN111" s="1"/>
      <c r="BO111" s="1"/>
      <c r="BP111" s="1">
        <v>1812375.05</v>
      </c>
      <c r="BQ111" s="1">
        <v>1475265.65</v>
      </c>
      <c r="BR111" s="1"/>
      <c r="BS111" s="1"/>
      <c r="BT111" s="1"/>
      <c r="BU111" s="1"/>
      <c r="BV111" s="1">
        <v>15667.68</v>
      </c>
      <c r="BW111" s="1">
        <v>15667.68</v>
      </c>
      <c r="BX111" s="1">
        <v>32195.26</v>
      </c>
      <c r="BY111" s="1">
        <v>32195.26</v>
      </c>
      <c r="BZ111" s="1">
        <v>41306.51</v>
      </c>
      <c r="CA111" s="1">
        <v>157976.82</v>
      </c>
      <c r="CB111" s="1">
        <v>110937.66</v>
      </c>
      <c r="CC111" s="1"/>
      <c r="CD111" s="1">
        <v>26.43</v>
      </c>
      <c r="CE111" s="1">
        <v>26.43</v>
      </c>
      <c r="CF111" s="1"/>
      <c r="CG111" s="1"/>
      <c r="CH111" s="1">
        <v>147814.94</v>
      </c>
      <c r="CI111" s="1">
        <v>311627.32</v>
      </c>
      <c r="CJ111" s="1">
        <v>1715.94</v>
      </c>
      <c r="CK111" s="1">
        <v>5130.32</v>
      </c>
      <c r="CL111" s="1"/>
      <c r="CM111" s="1"/>
      <c r="CN111" s="1">
        <v>1116.4000000000001</v>
      </c>
      <c r="CO111" s="1">
        <v>4530.78</v>
      </c>
      <c r="CP111" s="1">
        <v>200</v>
      </c>
      <c r="CQ111" s="1">
        <v>200</v>
      </c>
      <c r="CR111" s="1">
        <v>399.54</v>
      </c>
      <c r="CS111" s="1">
        <v>399.54</v>
      </c>
      <c r="CT111" s="1"/>
      <c r="CU111" s="1"/>
      <c r="CV111" s="1"/>
      <c r="CW111" s="1"/>
      <c r="CX111" s="2">
        <v>3942631.44</v>
      </c>
      <c r="CY111" s="1">
        <v>4168028.22</v>
      </c>
      <c r="CZ111" s="1">
        <v>4763370.13</v>
      </c>
      <c r="DA111" s="1">
        <v>4920989.91</v>
      </c>
      <c r="DB111" s="1">
        <v>1632680.3</v>
      </c>
      <c r="DC111" s="1">
        <v>1632680.3</v>
      </c>
      <c r="DD111" s="1"/>
      <c r="DE111" s="1"/>
      <c r="DF111" s="1">
        <v>270620.28000000003</v>
      </c>
      <c r="DG111" s="1">
        <v>270620.28000000003</v>
      </c>
      <c r="DH111" s="1"/>
      <c r="DI111" s="1"/>
      <c r="DJ111" s="1">
        <v>135640.71</v>
      </c>
      <c r="DK111" s="1">
        <v>141857.59</v>
      </c>
      <c r="DL111" s="24">
        <v>155018.21</v>
      </c>
      <c r="DM111" s="24">
        <v>155018.21</v>
      </c>
      <c r="DN111" s="1"/>
      <c r="DO111" s="1"/>
      <c r="DP111" s="2">
        <v>2193959.5</v>
      </c>
      <c r="DQ111" s="1">
        <v>2200176.38</v>
      </c>
      <c r="DR111" s="2">
        <v>266663</v>
      </c>
      <c r="DS111" s="1">
        <v>55764.28</v>
      </c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>
        <v>266663</v>
      </c>
      <c r="EK111" s="1">
        <v>55764.28</v>
      </c>
      <c r="EL111" s="1"/>
      <c r="EM111" s="1"/>
      <c r="EN111" s="1"/>
      <c r="EO111" s="1"/>
      <c r="EP111" s="2">
        <v>2302747.65</v>
      </c>
      <c r="EQ111" s="1">
        <v>2665049.23</v>
      </c>
      <c r="ER111" s="1">
        <v>2302747.65</v>
      </c>
      <c r="ES111" s="1">
        <v>2665049.23</v>
      </c>
      <c r="ET111" s="1"/>
      <c r="EU111" s="1"/>
      <c r="EV111" s="1">
        <v>978685.42</v>
      </c>
      <c r="EW111" s="1">
        <v>1206427.33</v>
      </c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>
        <v>16826.849999999999</v>
      </c>
      <c r="FI111" s="1">
        <v>6042.26</v>
      </c>
      <c r="FJ111" s="1">
        <v>140455.85999999999</v>
      </c>
      <c r="FK111" s="1">
        <v>311264.86</v>
      </c>
      <c r="FL111" s="1">
        <v>249651.64</v>
      </c>
      <c r="FM111" s="1">
        <v>282356.95</v>
      </c>
      <c r="FN111" s="1">
        <v>62382.09</v>
      </c>
      <c r="FO111" s="1">
        <v>38891.949999999997</v>
      </c>
      <c r="FP111" s="1"/>
      <c r="FQ111" s="1"/>
      <c r="FR111" s="1">
        <v>142391.38</v>
      </c>
      <c r="FS111" s="1">
        <v>124878.64</v>
      </c>
      <c r="FT111" s="1"/>
      <c r="FU111" s="1"/>
      <c r="FV111" s="1"/>
      <c r="FW111" s="1"/>
      <c r="FX111" s="1"/>
      <c r="FY111" s="1"/>
      <c r="FZ111" s="1">
        <v>712354.41</v>
      </c>
      <c r="GA111" s="1">
        <v>695187.24</v>
      </c>
      <c r="GB111" s="1">
        <v>2569410.65</v>
      </c>
      <c r="GC111" s="1">
        <v>2720813.51</v>
      </c>
      <c r="GD111" s="1">
        <v>4763370.1500000004</v>
      </c>
      <c r="GE111" s="1">
        <v>4920989.8899999997</v>
      </c>
    </row>
    <row r="112" spans="1:187" s="3" customFormat="1" ht="12" x14ac:dyDescent="0.2">
      <c r="A112" s="1">
        <v>20006</v>
      </c>
      <c r="B112" s="1">
        <v>0</v>
      </c>
      <c r="C112" s="1">
        <v>201039410</v>
      </c>
      <c r="D112" s="1" t="s">
        <v>143</v>
      </c>
      <c r="E112" s="1">
        <v>30</v>
      </c>
      <c r="F112" s="1">
        <v>5</v>
      </c>
      <c r="G112" s="1">
        <v>0</v>
      </c>
      <c r="H112" s="1">
        <v>1</v>
      </c>
      <c r="I112" s="1">
        <v>2019</v>
      </c>
      <c r="J112" s="1">
        <v>4</v>
      </c>
      <c r="K112" s="1" t="s">
        <v>0</v>
      </c>
      <c r="L112" s="1">
        <v>1</v>
      </c>
      <c r="M112" s="1">
        <v>30</v>
      </c>
      <c r="N112" s="1">
        <v>0</v>
      </c>
      <c r="O112" s="1">
        <v>43915.465960648151</v>
      </c>
      <c r="P112" s="1">
        <v>3478949.22</v>
      </c>
      <c r="Q112" s="1">
        <v>3478860.5</v>
      </c>
      <c r="R112" s="1">
        <v>3104750.2</v>
      </c>
      <c r="S112" s="1">
        <v>3175025.45</v>
      </c>
      <c r="T112" s="1">
        <v>374199.02</v>
      </c>
      <c r="U112" s="1">
        <v>303835.05</v>
      </c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>
        <v>434860.64</v>
      </c>
      <c r="AO112" s="1">
        <v>434860.64</v>
      </c>
      <c r="AP112" s="1">
        <v>82043</v>
      </c>
      <c r="AQ112" s="1">
        <v>82043</v>
      </c>
      <c r="AR112" s="1"/>
      <c r="AS112" s="1"/>
      <c r="AT112" s="1"/>
      <c r="AU112" s="1"/>
      <c r="AV112" s="2">
        <v>891102.66</v>
      </c>
      <c r="AW112" s="1">
        <v>820738.69</v>
      </c>
      <c r="AX112" s="1">
        <v>1393905.96</v>
      </c>
      <c r="AY112" s="1">
        <v>868716.88</v>
      </c>
      <c r="AZ112" s="1">
        <v>982948.62</v>
      </c>
      <c r="BA112" s="1">
        <v>501587.36</v>
      </c>
      <c r="BB112" s="1">
        <v>189490.73</v>
      </c>
      <c r="BC112" s="1">
        <v>117790.74</v>
      </c>
      <c r="BD112" s="1">
        <v>56041.43</v>
      </c>
      <c r="BE112" s="1">
        <v>91616.57</v>
      </c>
      <c r="BF112" s="1">
        <v>165425.18</v>
      </c>
      <c r="BG112" s="1">
        <v>157722.21</v>
      </c>
      <c r="BH112" s="1">
        <v>700255.11</v>
      </c>
      <c r="BI112" s="1">
        <v>911875.09</v>
      </c>
      <c r="BJ112" s="1"/>
      <c r="BK112" s="1"/>
      <c r="BL112" s="1">
        <v>1498658.74</v>
      </c>
      <c r="BM112" s="1">
        <v>2160323.5299999998</v>
      </c>
      <c r="BN112" s="1"/>
      <c r="BO112" s="1"/>
      <c r="BP112" s="1">
        <v>913912.54</v>
      </c>
      <c r="BQ112" s="1">
        <v>1812375.05</v>
      </c>
      <c r="BR112" s="1"/>
      <c r="BS112" s="1"/>
      <c r="BT112" s="1"/>
      <c r="BU112" s="1"/>
      <c r="BV112" s="1">
        <v>9485.7800000000007</v>
      </c>
      <c r="BW112" s="1">
        <v>15667.68</v>
      </c>
      <c r="BX112" s="1">
        <v>37359.26</v>
      </c>
      <c r="BY112" s="1">
        <v>32195.26</v>
      </c>
      <c r="BZ112" s="1">
        <v>440288.49</v>
      </c>
      <c r="CA112" s="1">
        <v>41306.51</v>
      </c>
      <c r="CB112" s="1">
        <v>24183.81</v>
      </c>
      <c r="CC112" s="1">
        <v>110937.66</v>
      </c>
      <c r="CD112" s="1"/>
      <c r="CE112" s="1">
        <v>26.43</v>
      </c>
      <c r="CF112" s="1"/>
      <c r="CG112" s="1"/>
      <c r="CH112" s="1">
        <v>73428.86</v>
      </c>
      <c r="CI112" s="1">
        <v>147814.94</v>
      </c>
      <c r="CJ112" s="1">
        <v>23624.02</v>
      </c>
      <c r="CK112" s="1">
        <v>1715.94</v>
      </c>
      <c r="CL112" s="1"/>
      <c r="CM112" s="1"/>
      <c r="CN112" s="1">
        <v>23024.48</v>
      </c>
      <c r="CO112" s="1">
        <v>1116.4000000000001</v>
      </c>
      <c r="CP112" s="1">
        <v>200</v>
      </c>
      <c r="CQ112" s="1">
        <v>200</v>
      </c>
      <c r="CR112" s="1">
        <v>399.54</v>
      </c>
      <c r="CS112" s="1">
        <v>399.54</v>
      </c>
      <c r="CT112" s="1"/>
      <c r="CU112" s="1"/>
      <c r="CV112" s="1"/>
      <c r="CW112" s="1"/>
      <c r="CX112" s="2">
        <v>3616443.83</v>
      </c>
      <c r="CY112" s="1">
        <v>3942631.44</v>
      </c>
      <c r="CZ112" s="1">
        <v>4507546.49</v>
      </c>
      <c r="DA112" s="1">
        <v>4763370.13</v>
      </c>
      <c r="DB112" s="1">
        <v>1632680.3</v>
      </c>
      <c r="DC112" s="1">
        <v>1632680.3</v>
      </c>
      <c r="DD112" s="1"/>
      <c r="DE112" s="1"/>
      <c r="DF112" s="1">
        <v>270620.28000000003</v>
      </c>
      <c r="DG112" s="1">
        <v>270620.28000000003</v>
      </c>
      <c r="DH112" s="1"/>
      <c r="DI112" s="1"/>
      <c r="DJ112" s="1">
        <v>119344.12</v>
      </c>
      <c r="DK112" s="1">
        <v>135640.71</v>
      </c>
      <c r="DL112" s="24">
        <v>155018.21</v>
      </c>
      <c r="DM112" s="24">
        <v>155018.21</v>
      </c>
      <c r="DN112" s="1"/>
      <c r="DO112" s="1"/>
      <c r="DP112" s="2">
        <v>2177662.91</v>
      </c>
      <c r="DQ112" s="1">
        <v>2193959.5</v>
      </c>
      <c r="DR112" s="2">
        <v>999756.62</v>
      </c>
      <c r="DS112" s="1">
        <v>266663</v>
      </c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>
        <v>999756.62</v>
      </c>
      <c r="EK112" s="1">
        <v>266663</v>
      </c>
      <c r="EL112" s="1"/>
      <c r="EM112" s="1"/>
      <c r="EN112" s="1"/>
      <c r="EO112" s="1"/>
      <c r="EP112" s="2">
        <v>1330126.96</v>
      </c>
      <c r="EQ112" s="1">
        <v>2302747.65</v>
      </c>
      <c r="ER112" s="1">
        <v>1330126.96</v>
      </c>
      <c r="ES112" s="1">
        <v>2302747.65</v>
      </c>
      <c r="ET112" s="1"/>
      <c r="EU112" s="1"/>
      <c r="EV112" s="1">
        <v>797922.82</v>
      </c>
      <c r="EW112" s="1">
        <v>978685.42</v>
      </c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>
        <v>36776.1</v>
      </c>
      <c r="FI112" s="1">
        <v>16826.849999999999</v>
      </c>
      <c r="FJ112" s="1">
        <v>78145.89</v>
      </c>
      <c r="FK112" s="1">
        <v>140455.85999999999</v>
      </c>
      <c r="FL112" s="1">
        <v>77617.929999999993</v>
      </c>
      <c r="FM112" s="1">
        <v>249651.64</v>
      </c>
      <c r="FN112" s="1">
        <v>75044.73</v>
      </c>
      <c r="FO112" s="1">
        <v>62382.09</v>
      </c>
      <c r="FP112" s="1"/>
      <c r="FQ112" s="1"/>
      <c r="FR112" s="1">
        <v>201.12</v>
      </c>
      <c r="FS112" s="1">
        <v>142391.38</v>
      </c>
      <c r="FT112" s="1"/>
      <c r="FU112" s="1"/>
      <c r="FV112" s="1"/>
      <c r="FW112" s="1"/>
      <c r="FX112" s="1"/>
      <c r="FY112" s="1"/>
      <c r="FZ112" s="1">
        <v>264418.37</v>
      </c>
      <c r="GA112" s="1">
        <v>712354.41</v>
      </c>
      <c r="GB112" s="1">
        <v>2329883.58</v>
      </c>
      <c r="GC112" s="1">
        <v>2569410.65</v>
      </c>
      <c r="GD112" s="1">
        <v>4507546.49</v>
      </c>
      <c r="GE112" s="1">
        <v>4763370.1500000004</v>
      </c>
    </row>
    <row r="113" spans="1:187" s="3" customFormat="1" x14ac:dyDescent="0.25">
      <c r="A113" s="1">
        <v>20006</v>
      </c>
      <c r="B113" s="1">
        <v>0</v>
      </c>
      <c r="C113" s="3">
        <v>201039410</v>
      </c>
      <c r="D113" s="3" t="s">
        <v>143</v>
      </c>
      <c r="E113" s="4">
        <v>30</v>
      </c>
      <c r="F113" s="4">
        <v>5</v>
      </c>
      <c r="G113" s="4">
        <v>0</v>
      </c>
      <c r="H113" s="4">
        <v>1</v>
      </c>
      <c r="I113" s="1">
        <v>2018</v>
      </c>
      <c r="J113" s="1">
        <v>4</v>
      </c>
      <c r="K113" s="3" t="s">
        <v>0</v>
      </c>
      <c r="L113" s="1">
        <v>1</v>
      </c>
      <c r="M113" s="1">
        <v>30</v>
      </c>
      <c r="N113" s="5">
        <v>0</v>
      </c>
      <c r="O113" s="6">
        <v>43549.732916666668</v>
      </c>
      <c r="P113" s="1">
        <v>3506031.21</v>
      </c>
      <c r="Q113" s="1">
        <v>3478949.22</v>
      </c>
      <c r="R113" s="1">
        <v>3056847.14</v>
      </c>
      <c r="S113" s="1">
        <v>3104750.2</v>
      </c>
      <c r="T113" s="1">
        <v>449184.07</v>
      </c>
      <c r="U113" s="1">
        <v>374199.02</v>
      </c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>
        <v>434860.64</v>
      </c>
      <c r="AO113" s="1">
        <v>434860.64</v>
      </c>
      <c r="AP113" s="1">
        <v>82043</v>
      </c>
      <c r="AQ113" s="1">
        <v>82043</v>
      </c>
      <c r="AR113" s="1"/>
      <c r="AS113" s="1"/>
      <c r="AT113" s="1"/>
      <c r="AU113" s="1"/>
      <c r="AV113" s="2">
        <v>966087.71</v>
      </c>
      <c r="AW113" s="1">
        <v>891102.66</v>
      </c>
      <c r="AX113" s="1">
        <v>1021592.5</v>
      </c>
      <c r="AY113" s="1">
        <v>1393905.96</v>
      </c>
      <c r="AZ113" s="1">
        <v>667380.52</v>
      </c>
      <c r="BA113" s="1">
        <v>982948.62</v>
      </c>
      <c r="BB113" s="1">
        <v>234108.49</v>
      </c>
      <c r="BC113" s="1">
        <v>189490.73</v>
      </c>
      <c r="BD113" s="1">
        <v>10414.68</v>
      </c>
      <c r="BE113" s="1">
        <v>56041.43</v>
      </c>
      <c r="BF113" s="1">
        <v>109688.81</v>
      </c>
      <c r="BG113" s="1">
        <v>165425.18</v>
      </c>
      <c r="BH113" s="1">
        <v>72266.25</v>
      </c>
      <c r="BI113" s="1">
        <v>700255.11</v>
      </c>
      <c r="BJ113" s="1"/>
      <c r="BK113" s="1"/>
      <c r="BL113" s="1">
        <v>1057103.47</v>
      </c>
      <c r="BM113" s="1">
        <v>1498658.74</v>
      </c>
      <c r="BN113" s="1"/>
      <c r="BO113" s="1"/>
      <c r="BP113" s="1">
        <v>800159.84</v>
      </c>
      <c r="BQ113" s="1">
        <v>913912.54</v>
      </c>
      <c r="BR113" s="1"/>
      <c r="BS113" s="1"/>
      <c r="BT113" s="1"/>
      <c r="BU113" s="1"/>
      <c r="BV113" s="1">
        <v>5429.01</v>
      </c>
      <c r="BW113" s="1">
        <v>9485.7800000000007</v>
      </c>
      <c r="BX113" s="1">
        <v>75425.39</v>
      </c>
      <c r="BY113" s="1">
        <v>37359.26</v>
      </c>
      <c r="BZ113" s="1">
        <v>41306.51</v>
      </c>
      <c r="CA113" s="1">
        <v>440288.49</v>
      </c>
      <c r="CB113" s="1"/>
      <c r="CC113" s="1">
        <v>24183.81</v>
      </c>
      <c r="CD113" s="1"/>
      <c r="CE113" s="1"/>
      <c r="CF113" s="1"/>
      <c r="CG113" s="1"/>
      <c r="CH113" s="1">
        <v>134782.72</v>
      </c>
      <c r="CI113" s="1">
        <v>73428.86</v>
      </c>
      <c r="CJ113" s="1">
        <v>246722.74</v>
      </c>
      <c r="CK113" s="1">
        <v>23624.02</v>
      </c>
      <c r="CL113" s="1"/>
      <c r="CM113" s="1"/>
      <c r="CN113" s="1">
        <v>239525.38</v>
      </c>
      <c r="CO113" s="1">
        <v>23024.48</v>
      </c>
      <c r="CP113" s="1">
        <v>6797.82</v>
      </c>
      <c r="CQ113" s="1">
        <v>200</v>
      </c>
      <c r="CR113" s="1">
        <v>399.54</v>
      </c>
      <c r="CS113" s="1">
        <v>399.54</v>
      </c>
      <c r="CT113" s="1"/>
      <c r="CU113" s="1"/>
      <c r="CV113" s="1"/>
      <c r="CW113" s="1"/>
      <c r="CX113" s="2">
        <v>2397684.96</v>
      </c>
      <c r="CY113" s="1">
        <v>3616443.83</v>
      </c>
      <c r="CZ113" s="1">
        <v>3363772.67</v>
      </c>
      <c r="DA113" s="1">
        <v>4507546.49</v>
      </c>
      <c r="DB113" s="1">
        <v>1632680.3</v>
      </c>
      <c r="DC113" s="1">
        <v>1632680.3</v>
      </c>
      <c r="DD113" s="1"/>
      <c r="DE113" s="1"/>
      <c r="DF113" s="1">
        <v>270620.28000000003</v>
      </c>
      <c r="DG113" s="1">
        <v>270620.28000000003</v>
      </c>
      <c r="DH113" s="1"/>
      <c r="DI113" s="1"/>
      <c r="DJ113" s="1">
        <v>103495.61</v>
      </c>
      <c r="DK113" s="1">
        <v>119344.12</v>
      </c>
      <c r="DL113" s="24"/>
      <c r="DM113" s="24">
        <v>155018.21</v>
      </c>
      <c r="DN113" s="1"/>
      <c r="DO113" s="1"/>
      <c r="DP113" s="2">
        <v>2006796.19</v>
      </c>
      <c r="DQ113" s="1">
        <v>2177662.91</v>
      </c>
      <c r="DR113" s="2">
        <v>779424</v>
      </c>
      <c r="DS113" s="1">
        <v>999756.62</v>
      </c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>
        <v>779424</v>
      </c>
      <c r="EK113" s="1">
        <v>999756.62</v>
      </c>
      <c r="EL113" s="1"/>
      <c r="EM113" s="1"/>
      <c r="EN113" s="1"/>
      <c r="EO113" s="1"/>
      <c r="EP113" s="2">
        <v>577552.47</v>
      </c>
      <c r="EQ113" s="1">
        <v>1330126.96</v>
      </c>
      <c r="ER113" s="1">
        <v>577552.47</v>
      </c>
      <c r="ES113" s="1">
        <v>1330126.96</v>
      </c>
      <c r="ET113" s="1"/>
      <c r="EU113" s="1"/>
      <c r="EV113" s="1">
        <v>262894.43</v>
      </c>
      <c r="EW113" s="1">
        <v>797922.82</v>
      </c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>
        <v>9723.56</v>
      </c>
      <c r="FI113" s="1">
        <v>36776.1</v>
      </c>
      <c r="FJ113" s="1">
        <v>39744.58</v>
      </c>
      <c r="FK113" s="1">
        <v>78145.89</v>
      </c>
      <c r="FL113" s="1">
        <v>58936.75</v>
      </c>
      <c r="FM113" s="1">
        <v>77617.929999999993</v>
      </c>
      <c r="FN113" s="1">
        <v>62046.31</v>
      </c>
      <c r="FO113" s="1">
        <v>75044.73</v>
      </c>
      <c r="FP113" s="1"/>
      <c r="FQ113" s="1"/>
      <c r="FR113" s="1">
        <v>89939.62</v>
      </c>
      <c r="FS113" s="1">
        <v>201.12</v>
      </c>
      <c r="FT113" s="1"/>
      <c r="FU113" s="1"/>
      <c r="FV113" s="1"/>
      <c r="FW113" s="1"/>
      <c r="FX113" s="1"/>
      <c r="FY113" s="1"/>
      <c r="FZ113" s="1">
        <v>54267.22</v>
      </c>
      <c r="GA113" s="1">
        <v>264418.37</v>
      </c>
      <c r="GB113" s="1">
        <v>1356976.47</v>
      </c>
      <c r="GC113" s="1">
        <v>2329883.58</v>
      </c>
      <c r="GD113" s="1">
        <v>3363772.66</v>
      </c>
      <c r="GE113" s="1">
        <v>4507546.49</v>
      </c>
    </row>
    <row r="114" spans="1:187" s="3" customFormat="1" ht="12" x14ac:dyDescent="0.2">
      <c r="A114" s="1">
        <v>20006</v>
      </c>
      <c r="B114" s="1">
        <v>0</v>
      </c>
      <c r="C114" s="1">
        <v>201051785</v>
      </c>
      <c r="D114" s="1" t="s">
        <v>144</v>
      </c>
      <c r="E114" s="1">
        <v>26</v>
      </c>
      <c r="F114" s="1">
        <v>1</v>
      </c>
      <c r="G114" s="1">
        <v>0</v>
      </c>
      <c r="H114" s="1">
        <v>1</v>
      </c>
      <c r="I114" s="1">
        <v>2021</v>
      </c>
      <c r="J114" s="1">
        <v>4</v>
      </c>
      <c r="K114" s="1" t="s">
        <v>0</v>
      </c>
      <c r="L114" s="1">
        <v>1</v>
      </c>
      <c r="M114" s="1">
        <v>30</v>
      </c>
      <c r="N114" s="1">
        <v>0</v>
      </c>
      <c r="O114" s="1">
        <v>44606.546701388892</v>
      </c>
      <c r="P114" s="1">
        <v>9902916</v>
      </c>
      <c r="Q114" s="1">
        <v>9794340</v>
      </c>
      <c r="R114" s="1">
        <v>5767008</v>
      </c>
      <c r="S114" s="1">
        <v>6056332</v>
      </c>
      <c r="T114" s="1">
        <v>4135908</v>
      </c>
      <c r="U114" s="1">
        <v>3738008</v>
      </c>
      <c r="V114" s="1"/>
      <c r="W114" s="1"/>
      <c r="X114" s="1"/>
      <c r="Y114" s="1"/>
      <c r="Z114" s="1"/>
      <c r="AA114" s="1"/>
      <c r="AB114" s="1">
        <v>299</v>
      </c>
      <c r="AC114" s="1">
        <v>299</v>
      </c>
      <c r="AD114" s="1">
        <v>62</v>
      </c>
      <c r="AE114" s="1">
        <v>62</v>
      </c>
      <c r="AF114" s="1">
        <v>14</v>
      </c>
      <c r="AG114" s="1">
        <v>14</v>
      </c>
      <c r="AH114" s="1">
        <v>223</v>
      </c>
      <c r="AI114" s="1">
        <v>223</v>
      </c>
      <c r="AJ114" s="1"/>
      <c r="AK114" s="1"/>
      <c r="AL114" s="1"/>
      <c r="AM114" s="1"/>
      <c r="AN114" s="1"/>
      <c r="AO114" s="1"/>
      <c r="AP114" s="1"/>
      <c r="AQ114" s="1">
        <v>1800</v>
      </c>
      <c r="AR114" s="1"/>
      <c r="AS114" s="1"/>
      <c r="AT114" s="1"/>
      <c r="AU114" s="1"/>
      <c r="AV114" s="2">
        <v>4136207</v>
      </c>
      <c r="AW114" s="1">
        <v>3740107</v>
      </c>
      <c r="AX114" s="1">
        <v>8783988</v>
      </c>
      <c r="AY114" s="1">
        <v>9340176</v>
      </c>
      <c r="AZ114" s="1">
        <v>2859480</v>
      </c>
      <c r="BA114" s="1">
        <v>1767693</v>
      </c>
      <c r="BB114" s="1">
        <v>375861</v>
      </c>
      <c r="BC114" s="1">
        <v>439443</v>
      </c>
      <c r="BD114" s="1">
        <v>5548647</v>
      </c>
      <c r="BE114" s="1">
        <v>7133040</v>
      </c>
      <c r="BF114" s="1"/>
      <c r="BG114" s="1"/>
      <c r="BH114" s="1">
        <v>883</v>
      </c>
      <c r="BI114" s="1"/>
      <c r="BJ114" s="1"/>
      <c r="BK114" s="1"/>
      <c r="BL114" s="1">
        <v>3905197</v>
      </c>
      <c r="BM114" s="1">
        <v>4382220</v>
      </c>
      <c r="BN114" s="1"/>
      <c r="BO114" s="1"/>
      <c r="BP114" s="1">
        <v>340404</v>
      </c>
      <c r="BQ114" s="1">
        <v>250959</v>
      </c>
      <c r="BR114" s="1"/>
      <c r="BS114" s="1"/>
      <c r="BT114" s="1"/>
      <c r="BU114" s="1"/>
      <c r="BV114" s="1"/>
      <c r="BW114" s="1"/>
      <c r="BX114" s="1">
        <v>2590460</v>
      </c>
      <c r="BY114" s="1">
        <v>3102451</v>
      </c>
      <c r="BZ114" s="1">
        <v>777684</v>
      </c>
      <c r="CA114" s="1">
        <v>727896</v>
      </c>
      <c r="CB114" s="1">
        <v>2887</v>
      </c>
      <c r="CC114" s="1">
        <v>2364</v>
      </c>
      <c r="CD114" s="1"/>
      <c r="CE114" s="1"/>
      <c r="CF114" s="1">
        <v>3076</v>
      </c>
      <c r="CG114" s="1">
        <v>1409</v>
      </c>
      <c r="CH114" s="1">
        <v>190686</v>
      </c>
      <c r="CI114" s="1">
        <v>297141</v>
      </c>
      <c r="CJ114" s="1">
        <v>4075246</v>
      </c>
      <c r="CK114" s="1">
        <v>3813505</v>
      </c>
      <c r="CL114" s="1">
        <v>230</v>
      </c>
      <c r="CM114" s="1"/>
      <c r="CN114" s="1">
        <v>914853</v>
      </c>
      <c r="CO114" s="1">
        <v>249014</v>
      </c>
      <c r="CP114" s="1">
        <v>3156570</v>
      </c>
      <c r="CQ114" s="1">
        <v>3544290</v>
      </c>
      <c r="CR114" s="1">
        <v>3593</v>
      </c>
      <c r="CS114" s="1">
        <v>20201</v>
      </c>
      <c r="CT114" s="1"/>
      <c r="CU114" s="1"/>
      <c r="CV114" s="1"/>
      <c r="CW114" s="1"/>
      <c r="CX114" s="2">
        <v>16765314</v>
      </c>
      <c r="CY114" s="1">
        <v>17535901</v>
      </c>
      <c r="CZ114" s="1">
        <v>20901521</v>
      </c>
      <c r="DA114" s="1">
        <v>21276008</v>
      </c>
      <c r="DB114" s="1">
        <v>1114333</v>
      </c>
      <c r="DC114" s="1">
        <v>1114333</v>
      </c>
      <c r="DD114" s="1"/>
      <c r="DE114" s="1"/>
      <c r="DF114" s="1">
        <v>6482209</v>
      </c>
      <c r="DG114" s="1">
        <v>6470603</v>
      </c>
      <c r="DH114" s="1"/>
      <c r="DI114" s="1"/>
      <c r="DJ114" s="1">
        <v>10824344</v>
      </c>
      <c r="DK114" s="1">
        <v>11171120</v>
      </c>
      <c r="DL114" s="24"/>
      <c r="DM114" s="24"/>
      <c r="DN114" s="1">
        <v>503</v>
      </c>
      <c r="DO114" s="1">
        <v>503</v>
      </c>
      <c r="DP114" s="2">
        <v>18421389</v>
      </c>
      <c r="DQ114" s="1">
        <v>18756559</v>
      </c>
      <c r="DR114" s="2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2">
        <v>2480132</v>
      </c>
      <c r="EQ114" s="1">
        <v>2519449</v>
      </c>
      <c r="ER114" s="1">
        <v>2480132</v>
      </c>
      <c r="ES114" s="1">
        <v>2519449</v>
      </c>
      <c r="ET114" s="1"/>
      <c r="EU114" s="1"/>
      <c r="EV114" s="1">
        <v>77052</v>
      </c>
      <c r="EW114" s="1">
        <v>207982</v>
      </c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>
        <v>1144254</v>
      </c>
      <c r="FI114" s="1">
        <v>802572</v>
      </c>
      <c r="FJ114" s="1">
        <v>280162</v>
      </c>
      <c r="FK114" s="1">
        <v>368635</v>
      </c>
      <c r="FL114" s="1"/>
      <c r="FM114" s="1"/>
      <c r="FN114" s="1">
        <v>52350</v>
      </c>
      <c r="FO114" s="1">
        <v>67873</v>
      </c>
      <c r="FP114" s="1">
        <v>198546</v>
      </c>
      <c r="FQ114" s="1">
        <v>224302</v>
      </c>
      <c r="FR114" s="1">
        <v>432708</v>
      </c>
      <c r="FS114" s="1">
        <v>585001</v>
      </c>
      <c r="FT114" s="1"/>
      <c r="FU114" s="1"/>
      <c r="FV114" s="1"/>
      <c r="FW114" s="1"/>
      <c r="FX114" s="1"/>
      <c r="FY114" s="1"/>
      <c r="FZ114" s="1">
        <v>295060</v>
      </c>
      <c r="GA114" s="1">
        <v>263084</v>
      </c>
      <c r="GB114" s="1">
        <v>2480132</v>
      </c>
      <c r="GC114" s="1">
        <v>2519449</v>
      </c>
      <c r="GD114" s="1">
        <v>20901521</v>
      </c>
      <c r="GE114" s="1">
        <v>21276008</v>
      </c>
    </row>
    <row r="115" spans="1:187" s="3" customFormat="1" ht="12" x14ac:dyDescent="0.2">
      <c r="A115" s="1">
        <v>20006</v>
      </c>
      <c r="B115" s="1">
        <v>0</v>
      </c>
      <c r="C115" s="1">
        <v>201051785</v>
      </c>
      <c r="D115" s="1" t="s">
        <v>144</v>
      </c>
      <c r="E115" s="1">
        <v>26</v>
      </c>
      <c r="F115" s="1">
        <v>1</v>
      </c>
      <c r="G115" s="1">
        <v>0</v>
      </c>
      <c r="H115" s="1">
        <v>1</v>
      </c>
      <c r="I115" s="1">
        <v>2020</v>
      </c>
      <c r="J115" s="1">
        <v>4</v>
      </c>
      <c r="K115" s="1" t="s">
        <v>0</v>
      </c>
      <c r="L115" s="1">
        <v>1</v>
      </c>
      <c r="M115" s="1">
        <v>30</v>
      </c>
      <c r="N115" s="1">
        <v>0</v>
      </c>
      <c r="O115" s="1">
        <v>44238.338460648149</v>
      </c>
      <c r="P115" s="1">
        <v>9450944</v>
      </c>
      <c r="Q115" s="1">
        <v>9496156</v>
      </c>
      <c r="R115" s="1">
        <v>5222940</v>
      </c>
      <c r="S115" s="1">
        <v>5534837</v>
      </c>
      <c r="T115" s="1">
        <v>4228004</v>
      </c>
      <c r="U115" s="1">
        <v>3961319</v>
      </c>
      <c r="V115" s="1"/>
      <c r="W115" s="1"/>
      <c r="X115" s="1"/>
      <c r="Y115" s="1"/>
      <c r="Z115" s="1"/>
      <c r="AA115" s="1"/>
      <c r="AB115" s="1">
        <v>299</v>
      </c>
      <c r="AC115" s="1">
        <v>299</v>
      </c>
      <c r="AD115" s="1">
        <v>62</v>
      </c>
      <c r="AE115" s="1">
        <v>62</v>
      </c>
      <c r="AF115" s="1">
        <v>14</v>
      </c>
      <c r="AG115" s="1">
        <v>14</v>
      </c>
      <c r="AH115" s="1">
        <v>223</v>
      </c>
      <c r="AI115" s="1">
        <v>223</v>
      </c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2">
        <v>4228303</v>
      </c>
      <c r="AW115" s="1">
        <v>3961618</v>
      </c>
      <c r="AX115" s="1">
        <v>11477235</v>
      </c>
      <c r="AY115" s="1">
        <v>8783988</v>
      </c>
      <c r="AZ115" s="1">
        <v>3568836</v>
      </c>
      <c r="BA115" s="1">
        <v>2859480</v>
      </c>
      <c r="BB115" s="1">
        <v>700177</v>
      </c>
      <c r="BC115" s="1">
        <v>375861</v>
      </c>
      <c r="BD115" s="1">
        <v>7208222</v>
      </c>
      <c r="BE115" s="1">
        <v>5548647</v>
      </c>
      <c r="BF115" s="1"/>
      <c r="BG115" s="1"/>
      <c r="BH115" s="1">
        <v>267</v>
      </c>
      <c r="BI115" s="1">
        <v>883</v>
      </c>
      <c r="BJ115" s="1"/>
      <c r="BK115" s="1"/>
      <c r="BL115" s="1">
        <v>1408965</v>
      </c>
      <c r="BM115" s="1">
        <v>3905198</v>
      </c>
      <c r="BN115" s="1"/>
      <c r="BO115" s="1"/>
      <c r="BP115" s="1">
        <v>870352</v>
      </c>
      <c r="BQ115" s="1">
        <v>340404</v>
      </c>
      <c r="BR115" s="1"/>
      <c r="BS115" s="1"/>
      <c r="BT115" s="1"/>
      <c r="BU115" s="1"/>
      <c r="BV115" s="1"/>
      <c r="BW115" s="1"/>
      <c r="BX115" s="1">
        <v>2501</v>
      </c>
      <c r="BY115" s="1">
        <v>2590460</v>
      </c>
      <c r="BZ115" s="1">
        <v>431465</v>
      </c>
      <c r="CA115" s="1">
        <v>777684</v>
      </c>
      <c r="CB115" s="1">
        <v>5272</v>
      </c>
      <c r="CC115" s="1">
        <v>2887</v>
      </c>
      <c r="CD115" s="1"/>
      <c r="CE115" s="1"/>
      <c r="CF115" s="1">
        <v>559</v>
      </c>
      <c r="CG115" s="1">
        <v>3076</v>
      </c>
      <c r="CH115" s="1">
        <v>98816</v>
      </c>
      <c r="CI115" s="1">
        <v>190687</v>
      </c>
      <c r="CJ115" s="1">
        <v>2990312</v>
      </c>
      <c r="CK115" s="1">
        <v>4075246</v>
      </c>
      <c r="CL115" s="1">
        <v>10248</v>
      </c>
      <c r="CM115" s="1">
        <v>230</v>
      </c>
      <c r="CN115" s="1">
        <v>51287</v>
      </c>
      <c r="CO115" s="1">
        <v>914853</v>
      </c>
      <c r="CP115" s="1">
        <v>2926355</v>
      </c>
      <c r="CQ115" s="1">
        <v>3156570</v>
      </c>
      <c r="CR115" s="1">
        <v>2422</v>
      </c>
      <c r="CS115" s="1">
        <v>3593</v>
      </c>
      <c r="CT115" s="1"/>
      <c r="CU115" s="1"/>
      <c r="CV115" s="1"/>
      <c r="CW115" s="1"/>
      <c r="CX115" s="2">
        <v>15876779</v>
      </c>
      <c r="CY115" s="1">
        <v>16765315</v>
      </c>
      <c r="CZ115" s="1">
        <v>20105082</v>
      </c>
      <c r="DA115" s="1">
        <v>20726933</v>
      </c>
      <c r="DB115" s="1">
        <v>1114333</v>
      </c>
      <c r="DC115" s="1">
        <v>1114333</v>
      </c>
      <c r="DD115" s="1"/>
      <c r="DE115" s="1"/>
      <c r="DF115" s="1">
        <v>6261638</v>
      </c>
      <c r="DG115" s="1">
        <v>6307621</v>
      </c>
      <c r="DH115" s="1"/>
      <c r="DI115" s="1"/>
      <c r="DJ115" s="1">
        <v>10294949</v>
      </c>
      <c r="DK115" s="1">
        <v>10824344</v>
      </c>
      <c r="DL115" s="24"/>
      <c r="DM115" s="24"/>
      <c r="DN115" s="1">
        <v>503</v>
      </c>
      <c r="DO115" s="1">
        <v>503</v>
      </c>
      <c r="DP115" s="2">
        <v>17671423</v>
      </c>
      <c r="DQ115" s="1">
        <v>18246801</v>
      </c>
      <c r="DR115" s="2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2">
        <v>2433659</v>
      </c>
      <c r="EQ115" s="1">
        <v>2480132</v>
      </c>
      <c r="ER115" s="1">
        <v>957196</v>
      </c>
      <c r="ES115" s="1">
        <v>2480132</v>
      </c>
      <c r="ET115" s="1"/>
      <c r="EU115" s="1"/>
      <c r="EV115" s="1">
        <v>31489</v>
      </c>
      <c r="EW115" s="1">
        <v>77052</v>
      </c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>
        <v>76433</v>
      </c>
      <c r="FI115" s="1">
        <v>1144254</v>
      </c>
      <c r="FJ115" s="1">
        <v>97504</v>
      </c>
      <c r="FK115" s="1">
        <v>280162</v>
      </c>
      <c r="FL115" s="1"/>
      <c r="FM115" s="1"/>
      <c r="FN115" s="1">
        <v>88108</v>
      </c>
      <c r="FO115" s="1">
        <v>52350</v>
      </c>
      <c r="FP115" s="1">
        <v>110739</v>
      </c>
      <c r="FQ115" s="1">
        <v>198546</v>
      </c>
      <c r="FR115" s="1">
        <v>389741</v>
      </c>
      <c r="FS115" s="1">
        <v>432708</v>
      </c>
      <c r="FT115" s="1"/>
      <c r="FU115" s="1"/>
      <c r="FV115" s="1">
        <v>1476463</v>
      </c>
      <c r="FW115" s="1"/>
      <c r="FX115" s="1"/>
      <c r="FY115" s="1"/>
      <c r="FZ115" s="1">
        <v>163182</v>
      </c>
      <c r="GA115" s="1">
        <v>295060</v>
      </c>
      <c r="GB115" s="1">
        <v>2433659</v>
      </c>
      <c r="GC115" s="1">
        <v>2480132</v>
      </c>
      <c r="GD115" s="1">
        <v>20105082</v>
      </c>
      <c r="GE115" s="1">
        <v>20726933</v>
      </c>
    </row>
    <row r="116" spans="1:187" s="3" customFormat="1" ht="12" x14ac:dyDescent="0.2">
      <c r="A116" s="1">
        <v>20006</v>
      </c>
      <c r="B116" s="1">
        <v>0</v>
      </c>
      <c r="C116" s="1">
        <v>201051785</v>
      </c>
      <c r="D116" s="1" t="s">
        <v>144</v>
      </c>
      <c r="E116" s="1">
        <v>26</v>
      </c>
      <c r="F116" s="1">
        <v>1</v>
      </c>
      <c r="G116" s="1">
        <v>0</v>
      </c>
      <c r="H116" s="1">
        <v>1</v>
      </c>
      <c r="I116" s="1">
        <v>2019</v>
      </c>
      <c r="J116" s="1">
        <v>4</v>
      </c>
      <c r="K116" s="1" t="s">
        <v>0</v>
      </c>
      <c r="L116" s="1">
        <v>1</v>
      </c>
      <c r="M116" s="1">
        <v>30</v>
      </c>
      <c r="N116" s="1">
        <v>0</v>
      </c>
      <c r="O116" s="1">
        <v>43871.47351851852</v>
      </c>
      <c r="P116" s="1">
        <v>8851613</v>
      </c>
      <c r="Q116" s="1">
        <v>8820772</v>
      </c>
      <c r="R116" s="1">
        <v>4518301</v>
      </c>
      <c r="S116" s="1">
        <v>4891494</v>
      </c>
      <c r="T116" s="1">
        <v>4333312</v>
      </c>
      <c r="U116" s="1">
        <v>3929278</v>
      </c>
      <c r="V116" s="1"/>
      <c r="W116" s="1"/>
      <c r="X116" s="1"/>
      <c r="Y116" s="1"/>
      <c r="Z116" s="1"/>
      <c r="AA116" s="1"/>
      <c r="AB116" s="1">
        <v>299</v>
      </c>
      <c r="AC116" s="1">
        <v>299</v>
      </c>
      <c r="AD116" s="1">
        <v>62</v>
      </c>
      <c r="AE116" s="1">
        <v>62</v>
      </c>
      <c r="AF116" s="1">
        <v>14</v>
      </c>
      <c r="AG116" s="1">
        <v>14</v>
      </c>
      <c r="AH116" s="1">
        <v>223</v>
      </c>
      <c r="AI116" s="1">
        <v>223</v>
      </c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2">
        <v>4333611</v>
      </c>
      <c r="AW116" s="1">
        <v>3929577</v>
      </c>
      <c r="AX116" s="1">
        <v>14321031</v>
      </c>
      <c r="AY116" s="1">
        <v>11477235</v>
      </c>
      <c r="AZ116" s="1">
        <v>2268979</v>
      </c>
      <c r="BA116" s="1">
        <v>3568836</v>
      </c>
      <c r="BB116" s="1">
        <v>386716</v>
      </c>
      <c r="BC116" s="1">
        <v>700177</v>
      </c>
      <c r="BD116" s="1">
        <v>11663580</v>
      </c>
      <c r="BE116" s="1">
        <v>7208222</v>
      </c>
      <c r="BF116" s="1">
        <v>1756</v>
      </c>
      <c r="BG116" s="1"/>
      <c r="BH116" s="1"/>
      <c r="BI116" s="1">
        <v>267</v>
      </c>
      <c r="BJ116" s="1"/>
      <c r="BK116" s="1"/>
      <c r="BL116" s="1">
        <v>1148759</v>
      </c>
      <c r="BM116" s="1">
        <v>1408965</v>
      </c>
      <c r="BN116" s="1"/>
      <c r="BO116" s="1"/>
      <c r="BP116" s="1">
        <v>997986</v>
      </c>
      <c r="BQ116" s="1">
        <v>870352</v>
      </c>
      <c r="BR116" s="1"/>
      <c r="BS116" s="1"/>
      <c r="BT116" s="1"/>
      <c r="BU116" s="1"/>
      <c r="BV116" s="1"/>
      <c r="BW116" s="1"/>
      <c r="BX116" s="1">
        <v>3583</v>
      </c>
      <c r="BY116" s="1">
        <v>2501</v>
      </c>
      <c r="BZ116" s="1">
        <v>97462</v>
      </c>
      <c r="CA116" s="1">
        <v>431465</v>
      </c>
      <c r="CB116" s="1">
        <v>4863</v>
      </c>
      <c r="CC116" s="1">
        <v>5272</v>
      </c>
      <c r="CD116" s="1"/>
      <c r="CE116" s="1"/>
      <c r="CF116" s="1">
        <v>342</v>
      </c>
      <c r="CG116" s="1">
        <v>559</v>
      </c>
      <c r="CH116" s="1">
        <v>44523</v>
      </c>
      <c r="CI116" s="1">
        <v>98816</v>
      </c>
      <c r="CJ116" s="1">
        <v>1194630</v>
      </c>
      <c r="CK116" s="1">
        <v>2990312</v>
      </c>
      <c r="CL116" s="1"/>
      <c r="CM116" s="1">
        <v>10248</v>
      </c>
      <c r="CN116" s="1">
        <v>172287</v>
      </c>
      <c r="CO116" s="1">
        <v>51287</v>
      </c>
      <c r="CP116" s="1">
        <v>1019961</v>
      </c>
      <c r="CQ116" s="1">
        <v>2926355</v>
      </c>
      <c r="CR116" s="1">
        <v>2382</v>
      </c>
      <c r="CS116" s="1">
        <v>2422</v>
      </c>
      <c r="CT116" s="1"/>
      <c r="CU116" s="1"/>
      <c r="CV116" s="1"/>
      <c r="CW116" s="1"/>
      <c r="CX116" s="2">
        <v>16664420</v>
      </c>
      <c r="CY116" s="1">
        <v>15876779</v>
      </c>
      <c r="CZ116" s="1">
        <v>20998031</v>
      </c>
      <c r="DA116" s="1">
        <v>19806356</v>
      </c>
      <c r="DB116" s="1">
        <v>1114333</v>
      </c>
      <c r="DC116" s="1">
        <v>1114333</v>
      </c>
      <c r="DD116" s="1"/>
      <c r="DE116" s="1"/>
      <c r="DF116" s="1">
        <v>5942733</v>
      </c>
      <c r="DG116" s="1">
        <v>5962912</v>
      </c>
      <c r="DH116" s="1"/>
      <c r="DI116" s="1"/>
      <c r="DJ116" s="1">
        <v>9475227</v>
      </c>
      <c r="DK116" s="1">
        <v>10294949</v>
      </c>
      <c r="DL116" s="24"/>
      <c r="DM116" s="24"/>
      <c r="DN116" s="1">
        <v>503</v>
      </c>
      <c r="DO116" s="1">
        <v>503</v>
      </c>
      <c r="DP116" s="2">
        <v>16532796</v>
      </c>
      <c r="DQ116" s="1">
        <v>17372697</v>
      </c>
      <c r="DR116" s="2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2">
        <v>4465235</v>
      </c>
      <c r="EQ116" s="1">
        <v>2433659</v>
      </c>
      <c r="ER116" s="1">
        <v>1478772</v>
      </c>
      <c r="ES116" s="1">
        <v>957196</v>
      </c>
      <c r="ET116" s="1"/>
      <c r="EU116" s="1"/>
      <c r="EV116" s="1">
        <v>342048</v>
      </c>
      <c r="EW116" s="1">
        <v>31489</v>
      </c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>
        <v>406444</v>
      </c>
      <c r="FI116" s="1">
        <v>76433</v>
      </c>
      <c r="FJ116" s="1">
        <v>157595</v>
      </c>
      <c r="FK116" s="1">
        <v>97504</v>
      </c>
      <c r="FL116" s="1"/>
      <c r="FM116" s="1"/>
      <c r="FN116" s="1">
        <v>73819</v>
      </c>
      <c r="FO116" s="1">
        <v>88108</v>
      </c>
      <c r="FP116" s="1">
        <v>25104</v>
      </c>
      <c r="FQ116" s="1">
        <v>110739</v>
      </c>
      <c r="FR116" s="1">
        <v>281933</v>
      </c>
      <c r="FS116" s="1">
        <v>389741</v>
      </c>
      <c r="FT116" s="1"/>
      <c r="FU116" s="1"/>
      <c r="FV116" s="1">
        <v>2986463</v>
      </c>
      <c r="FW116" s="1">
        <v>1476463</v>
      </c>
      <c r="FX116" s="1"/>
      <c r="FY116" s="1"/>
      <c r="FZ116" s="1">
        <v>191829</v>
      </c>
      <c r="GA116" s="1">
        <v>163182</v>
      </c>
      <c r="GB116" s="1">
        <v>4465235</v>
      </c>
      <c r="GC116" s="1">
        <v>2433659</v>
      </c>
      <c r="GD116" s="1">
        <v>20998031</v>
      </c>
      <c r="GE116" s="1">
        <v>19806356</v>
      </c>
    </row>
    <row r="117" spans="1:187" s="3" customFormat="1" x14ac:dyDescent="0.25">
      <c r="A117" s="1">
        <v>20006</v>
      </c>
      <c r="B117" s="1">
        <v>0</v>
      </c>
      <c r="C117" s="3">
        <v>201051785</v>
      </c>
      <c r="D117" s="3" t="s">
        <v>144</v>
      </c>
      <c r="E117" s="4">
        <v>26</v>
      </c>
      <c r="F117" s="4">
        <v>1</v>
      </c>
      <c r="G117" s="4">
        <v>0</v>
      </c>
      <c r="H117" s="4">
        <v>1</v>
      </c>
      <c r="I117" s="1">
        <v>2018</v>
      </c>
      <c r="J117" s="1">
        <v>4</v>
      </c>
      <c r="K117" s="3" t="s">
        <v>0</v>
      </c>
      <c r="L117" s="1">
        <v>1</v>
      </c>
      <c r="M117" s="1">
        <v>30</v>
      </c>
      <c r="N117" s="5">
        <v>0</v>
      </c>
      <c r="O117" s="6">
        <v>43510.545532407406</v>
      </c>
      <c r="P117" s="1">
        <v>7848145</v>
      </c>
      <c r="Q117" s="1">
        <v>8267529</v>
      </c>
      <c r="R117" s="1">
        <v>3921070</v>
      </c>
      <c r="S117" s="1">
        <v>4286960</v>
      </c>
      <c r="T117" s="1">
        <v>3927075</v>
      </c>
      <c r="U117" s="1">
        <v>3980569</v>
      </c>
      <c r="V117" s="1"/>
      <c r="W117" s="1"/>
      <c r="X117" s="1"/>
      <c r="Y117" s="1"/>
      <c r="Z117" s="1"/>
      <c r="AA117" s="1"/>
      <c r="AB117" s="1">
        <v>305653</v>
      </c>
      <c r="AC117" s="1">
        <v>299</v>
      </c>
      <c r="AD117" s="1">
        <v>62</v>
      </c>
      <c r="AE117" s="1">
        <v>62</v>
      </c>
      <c r="AF117" s="1">
        <v>14</v>
      </c>
      <c r="AG117" s="1">
        <v>14</v>
      </c>
      <c r="AH117" s="1">
        <v>223</v>
      </c>
      <c r="AI117" s="1">
        <v>223</v>
      </c>
      <c r="AJ117" s="1">
        <v>305354</v>
      </c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2">
        <v>4232728</v>
      </c>
      <c r="AW117" s="1">
        <v>3980868</v>
      </c>
      <c r="AX117" s="1">
        <v>16114966</v>
      </c>
      <c r="AY117" s="1">
        <v>14321031</v>
      </c>
      <c r="AZ117" s="1">
        <v>5596167</v>
      </c>
      <c r="BA117" s="1">
        <v>2268979</v>
      </c>
      <c r="BB117" s="1">
        <v>394456</v>
      </c>
      <c r="BC117" s="1">
        <v>386716</v>
      </c>
      <c r="BD117" s="1">
        <v>10124343</v>
      </c>
      <c r="BE117" s="1">
        <v>11663580</v>
      </c>
      <c r="BF117" s="1"/>
      <c r="BG117" s="1">
        <v>1756</v>
      </c>
      <c r="BH117" s="1">
        <v>270</v>
      </c>
      <c r="BI117" s="1"/>
      <c r="BJ117" s="1"/>
      <c r="BK117" s="1"/>
      <c r="BL117" s="1">
        <v>3535460</v>
      </c>
      <c r="BM117" s="1">
        <v>1148759</v>
      </c>
      <c r="BN117" s="1"/>
      <c r="BO117" s="1"/>
      <c r="BP117" s="1">
        <v>161410</v>
      </c>
      <c r="BQ117" s="1">
        <v>997986</v>
      </c>
      <c r="BR117" s="1"/>
      <c r="BS117" s="1"/>
      <c r="BT117" s="1"/>
      <c r="BU117" s="1"/>
      <c r="BV117" s="1">
        <v>2972</v>
      </c>
      <c r="BW117" s="1"/>
      <c r="BX117" s="1">
        <v>2969345</v>
      </c>
      <c r="BY117" s="1">
        <v>3583</v>
      </c>
      <c r="BZ117" s="1">
        <v>189064</v>
      </c>
      <c r="CA117" s="1">
        <v>97462</v>
      </c>
      <c r="CB117" s="1">
        <v>4708</v>
      </c>
      <c r="CC117" s="1">
        <v>4863</v>
      </c>
      <c r="CD117" s="1"/>
      <c r="CE117" s="1"/>
      <c r="CF117" s="1">
        <v>1358</v>
      </c>
      <c r="CG117" s="1">
        <v>342</v>
      </c>
      <c r="CH117" s="1">
        <v>206603</v>
      </c>
      <c r="CI117" s="1">
        <v>44523</v>
      </c>
      <c r="CJ117" s="1">
        <v>682377</v>
      </c>
      <c r="CK117" s="1">
        <v>1194630</v>
      </c>
      <c r="CL117" s="1"/>
      <c r="CM117" s="1"/>
      <c r="CN117" s="1">
        <v>334291</v>
      </c>
      <c r="CO117" s="1">
        <v>172287</v>
      </c>
      <c r="CP117" s="1">
        <v>326266</v>
      </c>
      <c r="CQ117" s="1">
        <v>1019961</v>
      </c>
      <c r="CR117" s="1">
        <v>21820</v>
      </c>
      <c r="CS117" s="1">
        <v>2382</v>
      </c>
      <c r="CT117" s="1"/>
      <c r="CU117" s="1"/>
      <c r="CV117" s="1"/>
      <c r="CW117" s="1"/>
      <c r="CX117" s="2">
        <v>20333073</v>
      </c>
      <c r="CY117" s="1">
        <v>16664420</v>
      </c>
      <c r="CZ117" s="1">
        <v>24565801</v>
      </c>
      <c r="DA117" s="1">
        <v>20645288</v>
      </c>
      <c r="DB117" s="1">
        <v>1114333</v>
      </c>
      <c r="DC117" s="1">
        <v>1114333</v>
      </c>
      <c r="DD117" s="1"/>
      <c r="DE117" s="1"/>
      <c r="DF117" s="1">
        <v>5601012</v>
      </c>
      <c r="DG117" s="1">
        <v>5589990</v>
      </c>
      <c r="DH117" s="1"/>
      <c r="DI117" s="1"/>
      <c r="DJ117" s="1">
        <v>9166130</v>
      </c>
      <c r="DK117" s="1">
        <v>9475227</v>
      </c>
      <c r="DL117" s="24"/>
      <c r="DM117" s="24"/>
      <c r="DN117" s="1">
        <v>503</v>
      </c>
      <c r="DO117" s="1">
        <v>503</v>
      </c>
      <c r="DP117" s="2">
        <v>15881978</v>
      </c>
      <c r="DQ117" s="1">
        <v>16180053</v>
      </c>
      <c r="DR117" s="2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2">
        <v>8683823</v>
      </c>
      <c r="EQ117" s="1">
        <v>4465235</v>
      </c>
      <c r="ER117" s="1">
        <v>3898802</v>
      </c>
      <c r="ES117" s="1">
        <v>1478772</v>
      </c>
      <c r="ET117" s="1"/>
      <c r="EU117" s="1"/>
      <c r="EV117" s="1">
        <v>49414</v>
      </c>
      <c r="EW117" s="1">
        <v>342048</v>
      </c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>
        <v>2697787</v>
      </c>
      <c r="FI117" s="1">
        <v>406444</v>
      </c>
      <c r="FJ117" s="1">
        <v>318526</v>
      </c>
      <c r="FK117" s="1">
        <v>157595</v>
      </c>
      <c r="FL117" s="1"/>
      <c r="FM117" s="1"/>
      <c r="FN117" s="1">
        <v>113466</v>
      </c>
      <c r="FO117" s="1">
        <v>73819</v>
      </c>
      <c r="FP117" s="1">
        <v>25167</v>
      </c>
      <c r="FQ117" s="1">
        <v>25104</v>
      </c>
      <c r="FR117" s="1">
        <v>315623</v>
      </c>
      <c r="FS117" s="1">
        <v>281933</v>
      </c>
      <c r="FT117" s="1">
        <v>1785021</v>
      </c>
      <c r="FU117" s="1"/>
      <c r="FV117" s="1">
        <v>3000000</v>
      </c>
      <c r="FW117" s="1">
        <v>2986463</v>
      </c>
      <c r="FX117" s="1"/>
      <c r="FY117" s="1"/>
      <c r="FZ117" s="1">
        <v>378819</v>
      </c>
      <c r="GA117" s="1">
        <v>191829</v>
      </c>
      <c r="GB117" s="1">
        <v>8683823</v>
      </c>
      <c r="GC117" s="1">
        <v>4465235</v>
      </c>
      <c r="GD117" s="1">
        <v>24565801</v>
      </c>
      <c r="GE117" s="1">
        <v>20645288</v>
      </c>
    </row>
    <row r="118" spans="1:187" s="3" customFormat="1" ht="12" x14ac:dyDescent="0.2">
      <c r="A118" s="1">
        <v>20006</v>
      </c>
      <c r="B118" s="1">
        <v>0</v>
      </c>
      <c r="C118" s="1">
        <v>201108664</v>
      </c>
      <c r="D118" s="1" t="s">
        <v>145</v>
      </c>
      <c r="E118" s="1">
        <v>6</v>
      </c>
      <c r="F118" s="1">
        <v>3</v>
      </c>
      <c r="G118" s="1">
        <v>0</v>
      </c>
      <c r="H118" s="1">
        <v>1</v>
      </c>
      <c r="I118" s="1">
        <v>2021</v>
      </c>
      <c r="J118" s="1">
        <v>4</v>
      </c>
      <c r="K118" s="1" t="s">
        <v>0</v>
      </c>
      <c r="L118" s="1">
        <v>1</v>
      </c>
      <c r="M118" s="1">
        <v>30</v>
      </c>
      <c r="N118" s="1">
        <v>0</v>
      </c>
      <c r="O118" s="1">
        <v>44606.620381944442</v>
      </c>
      <c r="P118" s="1">
        <v>10076917</v>
      </c>
      <c r="Q118" s="1">
        <v>10878333</v>
      </c>
      <c r="R118" s="1">
        <v>7192398</v>
      </c>
      <c r="S118" s="1">
        <v>8185983</v>
      </c>
      <c r="T118" s="1">
        <v>2884519</v>
      </c>
      <c r="U118" s="1">
        <v>2692350</v>
      </c>
      <c r="V118" s="1"/>
      <c r="W118" s="1"/>
      <c r="X118" s="1"/>
      <c r="Y118" s="1"/>
      <c r="Z118" s="1"/>
      <c r="AA118" s="1"/>
      <c r="AB118" s="1">
        <v>1890741</v>
      </c>
      <c r="AC118" s="1">
        <v>1890742</v>
      </c>
      <c r="AD118" s="1"/>
      <c r="AE118" s="1">
        <v>207710</v>
      </c>
      <c r="AF118" s="1"/>
      <c r="AG118" s="1"/>
      <c r="AH118" s="1"/>
      <c r="AI118" s="1"/>
      <c r="AJ118" s="1"/>
      <c r="AK118" s="1"/>
      <c r="AL118" s="1">
        <v>1890741</v>
      </c>
      <c r="AM118" s="1">
        <v>1683032</v>
      </c>
      <c r="AN118" s="1"/>
      <c r="AO118" s="1"/>
      <c r="AP118" s="1">
        <v>10045</v>
      </c>
      <c r="AQ118" s="1"/>
      <c r="AR118" s="1"/>
      <c r="AS118" s="1"/>
      <c r="AT118" s="1"/>
      <c r="AU118" s="1"/>
      <c r="AV118" s="2">
        <v>4785305</v>
      </c>
      <c r="AW118" s="1">
        <v>4583092</v>
      </c>
      <c r="AX118" s="1">
        <v>30164217</v>
      </c>
      <c r="AY118" s="1">
        <v>20050654</v>
      </c>
      <c r="AZ118" s="1">
        <v>28603846</v>
      </c>
      <c r="BA118" s="1">
        <v>18054331</v>
      </c>
      <c r="BB118" s="1"/>
      <c r="BC118" s="1"/>
      <c r="BD118" s="1">
        <v>1560371</v>
      </c>
      <c r="BE118" s="1">
        <v>1770078</v>
      </c>
      <c r="BF118" s="1">
        <v>0</v>
      </c>
      <c r="BG118" s="1">
        <v>226245</v>
      </c>
      <c r="BH118" s="1"/>
      <c r="BI118" s="1">
        <v>2000000</v>
      </c>
      <c r="BJ118" s="1"/>
      <c r="BK118" s="1"/>
      <c r="BL118" s="1">
        <v>16702353</v>
      </c>
      <c r="BM118" s="1">
        <v>7974668</v>
      </c>
      <c r="BN118" s="1"/>
      <c r="BO118" s="1"/>
      <c r="BP118" s="1">
        <v>130696</v>
      </c>
      <c r="BQ118" s="1">
        <v>36591</v>
      </c>
      <c r="BR118" s="1"/>
      <c r="BS118" s="1"/>
      <c r="BT118" s="1"/>
      <c r="BU118" s="1">
        <v>4017</v>
      </c>
      <c r="BV118" s="1">
        <v>1108</v>
      </c>
      <c r="BW118" s="1">
        <v>1108</v>
      </c>
      <c r="BX118" s="1">
        <v>14818324</v>
      </c>
      <c r="BY118" s="1">
        <v>2795545</v>
      </c>
      <c r="BZ118" s="1">
        <v>1394329</v>
      </c>
      <c r="CA118" s="1">
        <v>4748803</v>
      </c>
      <c r="CB118" s="1"/>
      <c r="CC118" s="1">
        <v>269</v>
      </c>
      <c r="CD118" s="1"/>
      <c r="CE118" s="1"/>
      <c r="CF118" s="1"/>
      <c r="CG118" s="1">
        <v>12000</v>
      </c>
      <c r="CH118" s="1">
        <v>357896</v>
      </c>
      <c r="CI118" s="1">
        <v>376335</v>
      </c>
      <c r="CJ118" s="1">
        <v>1427778</v>
      </c>
      <c r="CK118" s="1">
        <v>1809784</v>
      </c>
      <c r="CL118" s="1"/>
      <c r="CM118" s="1"/>
      <c r="CN118" s="1">
        <v>204764</v>
      </c>
      <c r="CO118" s="1">
        <v>4062</v>
      </c>
      <c r="CP118" s="1"/>
      <c r="CQ118" s="1"/>
      <c r="CR118" s="1">
        <v>1223014</v>
      </c>
      <c r="CS118" s="1">
        <v>1805722</v>
      </c>
      <c r="CT118" s="1"/>
      <c r="CU118" s="1"/>
      <c r="CV118" s="1"/>
      <c r="CW118" s="1"/>
      <c r="CX118" s="2">
        <v>48294348</v>
      </c>
      <c r="CY118" s="1">
        <v>31835106</v>
      </c>
      <c r="CZ118" s="1">
        <v>53079653</v>
      </c>
      <c r="DA118" s="1">
        <v>36418198</v>
      </c>
      <c r="DB118" s="1">
        <v>718934</v>
      </c>
      <c r="DC118" s="1">
        <v>718934</v>
      </c>
      <c r="DD118" s="1">
        <v>30694</v>
      </c>
      <c r="DE118" s="1">
        <v>30694</v>
      </c>
      <c r="DF118" s="1">
        <v>2613134</v>
      </c>
      <c r="DG118" s="1">
        <v>3101556</v>
      </c>
      <c r="DH118" s="1"/>
      <c r="DI118" s="1"/>
      <c r="DJ118" s="1">
        <v>5967674</v>
      </c>
      <c r="DK118" s="1">
        <v>5452626</v>
      </c>
      <c r="DL118" s="24"/>
      <c r="DM118" s="24"/>
      <c r="DN118" s="1"/>
      <c r="DO118" s="1"/>
      <c r="DP118" s="2">
        <v>9330436</v>
      </c>
      <c r="DQ118" s="1">
        <v>9303810</v>
      </c>
      <c r="DR118" s="2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2">
        <v>43749217</v>
      </c>
      <c r="EQ118" s="1">
        <v>27114388</v>
      </c>
      <c r="ER118" s="1">
        <v>11095384</v>
      </c>
      <c r="ES118" s="1">
        <v>1765416</v>
      </c>
      <c r="ET118" s="1"/>
      <c r="EU118" s="1"/>
      <c r="EV118" s="1">
        <v>471447</v>
      </c>
      <c r="EW118" s="1">
        <v>315460</v>
      </c>
      <c r="EX118" s="1"/>
      <c r="EY118" s="1"/>
      <c r="EZ118" s="1">
        <v>5048049</v>
      </c>
      <c r="FA118" s="1"/>
      <c r="FB118" s="1"/>
      <c r="FC118" s="1"/>
      <c r="FD118" s="1"/>
      <c r="FE118" s="1"/>
      <c r="FF118" s="1"/>
      <c r="FG118" s="1"/>
      <c r="FH118" s="1">
        <v>93951</v>
      </c>
      <c r="FI118" s="1">
        <v>93240</v>
      </c>
      <c r="FJ118" s="1">
        <v>38236</v>
      </c>
      <c r="FK118" s="1">
        <v>122748</v>
      </c>
      <c r="FL118" s="1"/>
      <c r="FM118" s="1"/>
      <c r="FN118" s="1">
        <v>190621</v>
      </c>
      <c r="FO118" s="1">
        <v>253154</v>
      </c>
      <c r="FP118" s="1">
        <v>28561</v>
      </c>
      <c r="FQ118" s="1">
        <v>34415</v>
      </c>
      <c r="FR118" s="1">
        <v>2620425</v>
      </c>
      <c r="FS118" s="1">
        <v>835899</v>
      </c>
      <c r="FT118" s="1">
        <v>251431</v>
      </c>
      <c r="FU118" s="1"/>
      <c r="FV118" s="1">
        <v>32402402</v>
      </c>
      <c r="FW118" s="1">
        <v>25348972</v>
      </c>
      <c r="FX118" s="1"/>
      <c r="FY118" s="1"/>
      <c r="FZ118" s="1">
        <v>2604094</v>
      </c>
      <c r="GA118" s="1">
        <v>110500</v>
      </c>
      <c r="GB118" s="1">
        <v>43749217</v>
      </c>
      <c r="GC118" s="1">
        <v>27114388</v>
      </c>
      <c r="GD118" s="1">
        <v>53079653</v>
      </c>
      <c r="GE118" s="1">
        <v>36418198</v>
      </c>
    </row>
    <row r="119" spans="1:187" s="3" customFormat="1" ht="12" x14ac:dyDescent="0.2">
      <c r="A119" s="1">
        <v>20006</v>
      </c>
      <c r="B119" s="1">
        <v>0</v>
      </c>
      <c r="C119" s="1">
        <v>201108664</v>
      </c>
      <c r="D119" s="1" t="s">
        <v>145</v>
      </c>
      <c r="E119" s="1">
        <v>6</v>
      </c>
      <c r="F119" s="1">
        <v>3</v>
      </c>
      <c r="G119" s="1">
        <v>0</v>
      </c>
      <c r="H119" s="1">
        <v>1</v>
      </c>
      <c r="I119" s="1">
        <v>2020</v>
      </c>
      <c r="J119" s="1">
        <v>4</v>
      </c>
      <c r="K119" s="1" t="s">
        <v>0</v>
      </c>
      <c r="L119" s="1">
        <v>1</v>
      </c>
      <c r="M119" s="1">
        <v>30</v>
      </c>
      <c r="N119" s="1">
        <v>0</v>
      </c>
      <c r="O119" s="1">
        <v>44241.111458333333</v>
      </c>
      <c r="P119" s="1">
        <v>9298351</v>
      </c>
      <c r="Q119" s="1">
        <v>10076917</v>
      </c>
      <c r="R119" s="1">
        <v>5552484</v>
      </c>
      <c r="S119" s="1">
        <v>7192398</v>
      </c>
      <c r="T119" s="1">
        <v>3745867</v>
      </c>
      <c r="U119" s="1">
        <v>2884519</v>
      </c>
      <c r="V119" s="1"/>
      <c r="W119" s="1"/>
      <c r="X119" s="1"/>
      <c r="Y119" s="1"/>
      <c r="Z119" s="1"/>
      <c r="AA119" s="1"/>
      <c r="AB119" s="1">
        <v>1961191</v>
      </c>
      <c r="AC119" s="1">
        <v>1890741</v>
      </c>
      <c r="AD119" s="1"/>
      <c r="AE119" s="1"/>
      <c r="AF119" s="1"/>
      <c r="AG119" s="1"/>
      <c r="AH119" s="1"/>
      <c r="AI119" s="1"/>
      <c r="AJ119" s="1"/>
      <c r="AK119" s="1"/>
      <c r="AL119" s="1">
        <v>1961191</v>
      </c>
      <c r="AM119" s="1">
        <v>1890741</v>
      </c>
      <c r="AN119" s="1"/>
      <c r="AO119" s="1"/>
      <c r="AP119" s="1"/>
      <c r="AQ119" s="1">
        <v>10045</v>
      </c>
      <c r="AR119" s="1"/>
      <c r="AS119" s="1"/>
      <c r="AT119" s="1"/>
      <c r="AU119" s="1"/>
      <c r="AV119" s="2">
        <v>5707058</v>
      </c>
      <c r="AW119" s="1">
        <v>4785305</v>
      </c>
      <c r="AX119" s="1">
        <v>13855877</v>
      </c>
      <c r="AY119" s="1">
        <v>30164218</v>
      </c>
      <c r="AZ119" s="1">
        <v>12763499</v>
      </c>
      <c r="BA119" s="1">
        <v>28603846</v>
      </c>
      <c r="BB119" s="1"/>
      <c r="BC119" s="1"/>
      <c r="BD119" s="1">
        <v>1025855</v>
      </c>
      <c r="BE119" s="1">
        <v>1560372</v>
      </c>
      <c r="BF119" s="1">
        <v>66523</v>
      </c>
      <c r="BG119" s="1"/>
      <c r="BH119" s="1"/>
      <c r="BI119" s="1"/>
      <c r="BJ119" s="1"/>
      <c r="BK119" s="1"/>
      <c r="BL119" s="1">
        <v>11468832</v>
      </c>
      <c r="BM119" s="1">
        <v>16702353</v>
      </c>
      <c r="BN119" s="1"/>
      <c r="BO119" s="1"/>
      <c r="BP119" s="1">
        <v>67513</v>
      </c>
      <c r="BQ119" s="1">
        <v>130696</v>
      </c>
      <c r="BR119" s="1"/>
      <c r="BS119" s="1"/>
      <c r="BT119" s="1">
        <v>5984465</v>
      </c>
      <c r="BU119" s="1"/>
      <c r="BV119" s="1"/>
      <c r="BW119" s="1">
        <v>1108</v>
      </c>
      <c r="BX119" s="1">
        <v>4939168</v>
      </c>
      <c r="BY119" s="1">
        <v>14818324</v>
      </c>
      <c r="BZ119" s="1">
        <v>37685</v>
      </c>
      <c r="CA119" s="1">
        <v>1394329</v>
      </c>
      <c r="CB119" s="1">
        <v>257216</v>
      </c>
      <c r="CC119" s="1"/>
      <c r="CD119" s="1"/>
      <c r="CE119" s="1"/>
      <c r="CF119" s="1">
        <v>5004</v>
      </c>
      <c r="CG119" s="1"/>
      <c r="CH119" s="1">
        <v>177781</v>
      </c>
      <c r="CI119" s="1">
        <v>357896</v>
      </c>
      <c r="CJ119" s="1">
        <v>234820</v>
      </c>
      <c r="CK119" s="1">
        <v>1427778</v>
      </c>
      <c r="CL119" s="1"/>
      <c r="CM119" s="1"/>
      <c r="CN119" s="1">
        <v>52660</v>
      </c>
      <c r="CO119" s="1">
        <v>204764</v>
      </c>
      <c r="CP119" s="1"/>
      <c r="CQ119" s="1"/>
      <c r="CR119" s="1">
        <v>182160</v>
      </c>
      <c r="CS119" s="1">
        <v>1223014</v>
      </c>
      <c r="CT119" s="1"/>
      <c r="CU119" s="1"/>
      <c r="CV119" s="1"/>
      <c r="CW119" s="1"/>
      <c r="CX119" s="2">
        <v>25559529</v>
      </c>
      <c r="CY119" s="1">
        <v>48294349</v>
      </c>
      <c r="CZ119" s="1">
        <v>31266587</v>
      </c>
      <c r="DA119" s="1">
        <v>53079654</v>
      </c>
      <c r="DB119" s="1">
        <v>718934</v>
      </c>
      <c r="DC119" s="1">
        <v>718934</v>
      </c>
      <c r="DD119" s="1">
        <v>30694</v>
      </c>
      <c r="DE119" s="1">
        <v>30694</v>
      </c>
      <c r="DF119" s="1">
        <v>2402562</v>
      </c>
      <c r="DG119" s="1">
        <v>2613134</v>
      </c>
      <c r="DH119" s="1"/>
      <c r="DI119" s="1"/>
      <c r="DJ119" s="1">
        <v>1076191</v>
      </c>
      <c r="DK119" s="1">
        <v>5967675</v>
      </c>
      <c r="DL119" s="24"/>
      <c r="DM119" s="24"/>
      <c r="DN119" s="1"/>
      <c r="DO119" s="1"/>
      <c r="DP119" s="2">
        <v>4228381</v>
      </c>
      <c r="DQ119" s="1">
        <v>9330437</v>
      </c>
      <c r="DR119" s="2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2">
        <v>27038206</v>
      </c>
      <c r="EQ119" s="1">
        <v>43749217</v>
      </c>
      <c r="ER119" s="1">
        <v>10460726</v>
      </c>
      <c r="ES119" s="1">
        <v>11095384</v>
      </c>
      <c r="ET119" s="1"/>
      <c r="EU119" s="1"/>
      <c r="EV119" s="1">
        <v>1430049</v>
      </c>
      <c r="EW119" s="1">
        <v>471447</v>
      </c>
      <c r="EX119" s="1"/>
      <c r="EY119" s="1"/>
      <c r="EZ119" s="1">
        <v>6982867</v>
      </c>
      <c r="FA119" s="1">
        <v>5048049</v>
      </c>
      <c r="FB119" s="1"/>
      <c r="FC119" s="1"/>
      <c r="FD119" s="1"/>
      <c r="FE119" s="1"/>
      <c r="FF119" s="1"/>
      <c r="FG119" s="1"/>
      <c r="FH119" s="1">
        <v>151270</v>
      </c>
      <c r="FI119" s="1">
        <v>93951</v>
      </c>
      <c r="FJ119" s="1">
        <v>608531</v>
      </c>
      <c r="FK119" s="1">
        <v>38236</v>
      </c>
      <c r="FL119" s="1"/>
      <c r="FM119" s="1"/>
      <c r="FN119" s="1">
        <v>449442</v>
      </c>
      <c r="FO119" s="1">
        <v>190621</v>
      </c>
      <c r="FP119" s="1">
        <v>11867</v>
      </c>
      <c r="FQ119" s="1">
        <v>28561</v>
      </c>
      <c r="FR119" s="1">
        <v>536403</v>
      </c>
      <c r="FS119" s="1">
        <v>2620425</v>
      </c>
      <c r="FT119" s="1">
        <v>2088939</v>
      </c>
      <c r="FU119" s="1">
        <v>251431</v>
      </c>
      <c r="FV119" s="1">
        <v>14488541</v>
      </c>
      <c r="FW119" s="1">
        <v>32402402</v>
      </c>
      <c r="FX119" s="1"/>
      <c r="FY119" s="1"/>
      <c r="FZ119" s="1">
        <v>290297</v>
      </c>
      <c r="GA119" s="1">
        <v>2604094</v>
      </c>
      <c r="GB119" s="1">
        <v>27038206</v>
      </c>
      <c r="GC119" s="1">
        <v>43749217</v>
      </c>
      <c r="GD119" s="1">
        <v>31266587</v>
      </c>
      <c r="GE119" s="1">
        <v>53079654</v>
      </c>
    </row>
    <row r="120" spans="1:187" s="3" customFormat="1" ht="12" x14ac:dyDescent="0.2">
      <c r="A120" s="1">
        <v>20006</v>
      </c>
      <c r="B120" s="1">
        <v>0</v>
      </c>
      <c r="C120" s="1">
        <v>201108664</v>
      </c>
      <c r="D120" s="1" t="s">
        <v>145</v>
      </c>
      <c r="E120" s="1">
        <v>6</v>
      </c>
      <c r="F120" s="1">
        <v>3</v>
      </c>
      <c r="G120" s="1">
        <v>0</v>
      </c>
      <c r="H120" s="1">
        <v>1</v>
      </c>
      <c r="I120" s="1">
        <v>2019</v>
      </c>
      <c r="J120" s="1">
        <v>4</v>
      </c>
      <c r="K120" s="1" t="s">
        <v>0</v>
      </c>
      <c r="L120" s="1">
        <v>1</v>
      </c>
      <c r="M120" s="1">
        <v>30</v>
      </c>
      <c r="N120" s="1">
        <v>0</v>
      </c>
      <c r="O120" s="1">
        <v>43874.822245370371</v>
      </c>
      <c r="P120" s="1">
        <v>9298351</v>
      </c>
      <c r="Q120" s="1">
        <v>9587421</v>
      </c>
      <c r="R120" s="1">
        <v>5552484</v>
      </c>
      <c r="S120" s="1">
        <v>6503778</v>
      </c>
      <c r="T120" s="1">
        <v>3745867</v>
      </c>
      <c r="U120" s="1">
        <v>3083643</v>
      </c>
      <c r="V120" s="1"/>
      <c r="W120" s="1"/>
      <c r="X120" s="1"/>
      <c r="Y120" s="1"/>
      <c r="Z120" s="1"/>
      <c r="AA120" s="1"/>
      <c r="AB120" s="1">
        <v>1961191</v>
      </c>
      <c r="AC120" s="1">
        <v>1890741</v>
      </c>
      <c r="AD120" s="1"/>
      <c r="AE120" s="1"/>
      <c r="AF120" s="1"/>
      <c r="AG120" s="1"/>
      <c r="AH120" s="1"/>
      <c r="AI120" s="1"/>
      <c r="AJ120" s="1"/>
      <c r="AK120" s="1"/>
      <c r="AL120" s="1">
        <v>1961191</v>
      </c>
      <c r="AM120" s="1">
        <v>1890741</v>
      </c>
      <c r="AN120" s="1"/>
      <c r="AO120" s="1"/>
      <c r="AP120" s="1"/>
      <c r="AQ120" s="1"/>
      <c r="AR120" s="1"/>
      <c r="AS120" s="1"/>
      <c r="AT120" s="1"/>
      <c r="AU120" s="1"/>
      <c r="AV120" s="2">
        <v>5707058</v>
      </c>
      <c r="AW120" s="1">
        <v>4974384</v>
      </c>
      <c r="AX120" s="1">
        <v>13855877</v>
      </c>
      <c r="AY120" s="1">
        <v>36491806</v>
      </c>
      <c r="AZ120" s="1">
        <v>12763499</v>
      </c>
      <c r="BA120" s="1">
        <v>34933956</v>
      </c>
      <c r="BB120" s="1"/>
      <c r="BC120" s="1"/>
      <c r="BD120" s="1">
        <v>1025855</v>
      </c>
      <c r="BE120" s="1">
        <v>1557850</v>
      </c>
      <c r="BF120" s="1">
        <v>66523</v>
      </c>
      <c r="BG120" s="1"/>
      <c r="BH120" s="1"/>
      <c r="BI120" s="1"/>
      <c r="BJ120" s="1"/>
      <c r="BK120" s="1"/>
      <c r="BL120" s="1">
        <v>11468832</v>
      </c>
      <c r="BM120" s="1">
        <v>10889133</v>
      </c>
      <c r="BN120" s="1"/>
      <c r="BO120" s="1"/>
      <c r="BP120" s="1">
        <v>67513</v>
      </c>
      <c r="BQ120" s="1">
        <v>139197</v>
      </c>
      <c r="BR120" s="1"/>
      <c r="BS120" s="1"/>
      <c r="BT120" s="1">
        <v>5984465</v>
      </c>
      <c r="BU120" s="1">
        <v>2988</v>
      </c>
      <c r="BV120" s="1"/>
      <c r="BW120" s="1">
        <v>1955</v>
      </c>
      <c r="BX120" s="1">
        <v>4939168</v>
      </c>
      <c r="BY120" s="1">
        <v>10482231</v>
      </c>
      <c r="BZ120" s="1">
        <v>37685</v>
      </c>
      <c r="CA120" s="1">
        <v>67386</v>
      </c>
      <c r="CB120" s="1">
        <v>257216</v>
      </c>
      <c r="CC120" s="1"/>
      <c r="CD120" s="1"/>
      <c r="CE120" s="1"/>
      <c r="CF120" s="1">
        <v>5004</v>
      </c>
      <c r="CG120" s="1"/>
      <c r="CH120" s="1">
        <v>177781</v>
      </c>
      <c r="CI120" s="1">
        <v>195376</v>
      </c>
      <c r="CJ120" s="1">
        <v>234820</v>
      </c>
      <c r="CK120" s="1">
        <v>355331</v>
      </c>
      <c r="CL120" s="1"/>
      <c r="CM120" s="1"/>
      <c r="CN120" s="1">
        <v>52660</v>
      </c>
      <c r="CO120" s="1">
        <v>80599</v>
      </c>
      <c r="CP120" s="1"/>
      <c r="CQ120" s="1"/>
      <c r="CR120" s="1">
        <v>182160</v>
      </c>
      <c r="CS120" s="1">
        <v>274732</v>
      </c>
      <c r="CT120" s="1"/>
      <c r="CU120" s="1"/>
      <c r="CV120" s="1"/>
      <c r="CW120" s="1"/>
      <c r="CX120" s="2">
        <v>25559529</v>
      </c>
      <c r="CY120" s="1">
        <v>47736270</v>
      </c>
      <c r="CZ120" s="1">
        <v>31266587</v>
      </c>
      <c r="DA120" s="1">
        <v>52710654</v>
      </c>
      <c r="DB120" s="1">
        <v>718934</v>
      </c>
      <c r="DC120" s="1">
        <v>718934</v>
      </c>
      <c r="DD120" s="1">
        <v>30694</v>
      </c>
      <c r="DE120" s="1">
        <v>30694</v>
      </c>
      <c r="DF120" s="1">
        <v>2402562</v>
      </c>
      <c r="DG120" s="1">
        <v>2408048</v>
      </c>
      <c r="DH120" s="1"/>
      <c r="DI120" s="1"/>
      <c r="DJ120" s="1">
        <v>1076191</v>
      </c>
      <c r="DK120" s="1">
        <v>4797286</v>
      </c>
      <c r="DL120" s="24"/>
      <c r="DM120" s="24"/>
      <c r="DN120" s="1"/>
      <c r="DO120" s="1"/>
      <c r="DP120" s="2">
        <v>4228381</v>
      </c>
      <c r="DQ120" s="1">
        <v>7954962</v>
      </c>
      <c r="DR120" s="2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2">
        <v>27038206</v>
      </c>
      <c r="EQ120" s="1">
        <v>44755692</v>
      </c>
      <c r="ER120" s="1">
        <v>10460726</v>
      </c>
      <c r="ES120" s="1">
        <v>44155692</v>
      </c>
      <c r="ET120" s="1"/>
      <c r="EU120" s="1"/>
      <c r="EV120" s="1">
        <v>1430049</v>
      </c>
      <c r="EW120" s="1">
        <v>474950</v>
      </c>
      <c r="EX120" s="1"/>
      <c r="EY120" s="1"/>
      <c r="EZ120" s="1">
        <v>6982867</v>
      </c>
      <c r="FA120" s="1">
        <v>10083276</v>
      </c>
      <c r="FB120" s="1"/>
      <c r="FC120" s="1"/>
      <c r="FD120" s="1"/>
      <c r="FE120" s="1"/>
      <c r="FF120" s="1"/>
      <c r="FG120" s="1"/>
      <c r="FH120" s="1">
        <v>151270</v>
      </c>
      <c r="FI120" s="1">
        <v>55861</v>
      </c>
      <c r="FJ120" s="1">
        <v>608531</v>
      </c>
      <c r="FK120" s="1">
        <v>603873</v>
      </c>
      <c r="FL120" s="1"/>
      <c r="FM120" s="1"/>
      <c r="FN120" s="1">
        <v>449442</v>
      </c>
      <c r="FO120" s="1">
        <v>1071149</v>
      </c>
      <c r="FP120" s="1">
        <v>11867</v>
      </c>
      <c r="FQ120" s="1">
        <v>17404</v>
      </c>
      <c r="FR120" s="1">
        <v>536403</v>
      </c>
      <c r="FS120" s="1">
        <v>686354</v>
      </c>
      <c r="FT120" s="1">
        <v>2088939</v>
      </c>
      <c r="FU120" s="1">
        <v>600000</v>
      </c>
      <c r="FV120" s="1">
        <v>14488541</v>
      </c>
      <c r="FW120" s="1"/>
      <c r="FX120" s="1"/>
      <c r="FY120" s="1"/>
      <c r="FZ120" s="1">
        <v>290297</v>
      </c>
      <c r="GA120" s="1">
        <v>31162825</v>
      </c>
      <c r="GB120" s="1">
        <v>27038206</v>
      </c>
      <c r="GC120" s="1">
        <v>44755692</v>
      </c>
      <c r="GD120" s="1">
        <v>31266587</v>
      </c>
      <c r="GE120" s="1">
        <v>52710654</v>
      </c>
    </row>
    <row r="121" spans="1:187" s="3" customFormat="1" x14ac:dyDescent="0.25">
      <c r="A121" s="1">
        <v>20006</v>
      </c>
      <c r="B121" s="1">
        <v>0</v>
      </c>
      <c r="C121" s="3">
        <v>201108664</v>
      </c>
      <c r="D121" s="3" t="s">
        <v>145</v>
      </c>
      <c r="E121" s="4">
        <v>6</v>
      </c>
      <c r="F121" s="4">
        <v>3</v>
      </c>
      <c r="G121" s="4">
        <v>0</v>
      </c>
      <c r="H121" s="4">
        <v>1</v>
      </c>
      <c r="I121" s="1">
        <v>2018</v>
      </c>
      <c r="J121" s="1">
        <v>4</v>
      </c>
      <c r="K121" s="3" t="s">
        <v>0</v>
      </c>
      <c r="L121" s="1">
        <v>1</v>
      </c>
      <c r="M121" s="1">
        <v>30</v>
      </c>
      <c r="N121" s="5">
        <v>0</v>
      </c>
      <c r="O121" s="6">
        <v>43510.648564814815</v>
      </c>
      <c r="P121" s="1">
        <v>6815305</v>
      </c>
      <c r="Q121" s="1">
        <v>8786935</v>
      </c>
      <c r="R121" s="1">
        <v>3524337</v>
      </c>
      <c r="S121" s="1">
        <v>5323565</v>
      </c>
      <c r="T121" s="1">
        <v>3290968</v>
      </c>
      <c r="U121" s="1">
        <v>3463370</v>
      </c>
      <c r="V121" s="1"/>
      <c r="W121" s="1"/>
      <c r="X121" s="1"/>
      <c r="Y121" s="1"/>
      <c r="Z121" s="1"/>
      <c r="AA121" s="1"/>
      <c r="AB121" s="1">
        <v>1669447</v>
      </c>
      <c r="AC121" s="1">
        <v>1961191</v>
      </c>
      <c r="AD121" s="1">
        <v>40000</v>
      </c>
      <c r="AE121" s="1">
        <v>40000</v>
      </c>
      <c r="AF121" s="1"/>
      <c r="AG121" s="1"/>
      <c r="AH121" s="1"/>
      <c r="AI121" s="1"/>
      <c r="AJ121" s="1"/>
      <c r="AK121" s="1"/>
      <c r="AL121" s="1">
        <v>1629447</v>
      </c>
      <c r="AM121" s="1">
        <v>1921191</v>
      </c>
      <c r="AN121" s="1"/>
      <c r="AO121" s="1"/>
      <c r="AP121" s="1"/>
      <c r="AQ121" s="1"/>
      <c r="AR121" s="1"/>
      <c r="AS121" s="1"/>
      <c r="AT121" s="1"/>
      <c r="AU121" s="1"/>
      <c r="AV121" s="2">
        <v>4960415</v>
      </c>
      <c r="AW121" s="1">
        <v>5424561</v>
      </c>
      <c r="AX121" s="1">
        <v>13004369</v>
      </c>
      <c r="AY121" s="1">
        <v>13855877</v>
      </c>
      <c r="AZ121" s="1">
        <v>12456970</v>
      </c>
      <c r="BA121" s="1">
        <v>12763499</v>
      </c>
      <c r="BB121" s="1"/>
      <c r="BC121" s="1"/>
      <c r="BD121" s="1">
        <v>475546</v>
      </c>
      <c r="BE121" s="1">
        <v>1025855</v>
      </c>
      <c r="BF121" s="1">
        <v>71853</v>
      </c>
      <c r="BG121" s="1">
        <v>66523</v>
      </c>
      <c r="BH121" s="1"/>
      <c r="BI121" s="1"/>
      <c r="BJ121" s="1"/>
      <c r="BK121" s="1"/>
      <c r="BL121" s="1">
        <v>9401087</v>
      </c>
      <c r="BM121" s="1">
        <v>11468832</v>
      </c>
      <c r="BN121" s="1"/>
      <c r="BO121" s="1"/>
      <c r="BP121" s="1">
        <v>99024</v>
      </c>
      <c r="BQ121" s="1">
        <v>67513</v>
      </c>
      <c r="BR121" s="1"/>
      <c r="BS121" s="1"/>
      <c r="BT121" s="1">
        <v>3144960</v>
      </c>
      <c r="BU121" s="1">
        <v>5984465</v>
      </c>
      <c r="BV121" s="1"/>
      <c r="BW121" s="1"/>
      <c r="BX121" s="1">
        <v>5731325</v>
      </c>
      <c r="BY121" s="1">
        <v>4939168</v>
      </c>
      <c r="BZ121" s="1">
        <v>124587</v>
      </c>
      <c r="CA121" s="1">
        <v>37685</v>
      </c>
      <c r="CB121" s="1"/>
      <c r="CC121" s="1">
        <v>257216</v>
      </c>
      <c r="CD121" s="1"/>
      <c r="CE121" s="1"/>
      <c r="CF121" s="1">
        <v>5682</v>
      </c>
      <c r="CG121" s="1">
        <v>5004</v>
      </c>
      <c r="CH121" s="1">
        <v>295509</v>
      </c>
      <c r="CI121" s="1">
        <v>177781</v>
      </c>
      <c r="CJ121" s="1">
        <v>135881</v>
      </c>
      <c r="CK121" s="1">
        <v>234820</v>
      </c>
      <c r="CL121" s="1"/>
      <c r="CM121" s="1"/>
      <c r="CN121" s="1">
        <v>53928</v>
      </c>
      <c r="CO121" s="1">
        <v>52660</v>
      </c>
      <c r="CP121" s="1"/>
      <c r="CQ121" s="1"/>
      <c r="CR121" s="1">
        <v>81953</v>
      </c>
      <c r="CS121" s="1">
        <v>182160</v>
      </c>
      <c r="CT121" s="1"/>
      <c r="CU121" s="1"/>
      <c r="CV121" s="1"/>
      <c r="CW121" s="1"/>
      <c r="CX121" s="2">
        <v>22541337</v>
      </c>
      <c r="CY121" s="1">
        <v>25559529</v>
      </c>
      <c r="CZ121" s="1">
        <v>27501752</v>
      </c>
      <c r="DA121" s="1">
        <v>30984090</v>
      </c>
      <c r="DB121" s="1">
        <v>718934</v>
      </c>
      <c r="DC121" s="1">
        <v>718934</v>
      </c>
      <c r="DD121" s="1">
        <v>30694</v>
      </c>
      <c r="DE121" s="1">
        <v>30694</v>
      </c>
      <c r="DF121" s="1">
        <v>1517421</v>
      </c>
      <c r="DG121" s="1">
        <v>2120065</v>
      </c>
      <c r="DH121" s="1"/>
      <c r="DI121" s="1"/>
      <c r="DJ121" s="1">
        <v>781886</v>
      </c>
      <c r="DK121" s="1">
        <v>1076191</v>
      </c>
      <c r="DL121" s="24"/>
      <c r="DM121" s="24"/>
      <c r="DN121" s="1"/>
      <c r="DO121" s="1"/>
      <c r="DP121" s="2">
        <v>3048935</v>
      </c>
      <c r="DQ121" s="1">
        <v>3945884</v>
      </c>
      <c r="DR121" s="2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2">
        <v>24452817</v>
      </c>
      <c r="EQ121" s="1">
        <v>27038206</v>
      </c>
      <c r="ER121" s="1">
        <v>11933135</v>
      </c>
      <c r="ES121" s="1">
        <v>10460726</v>
      </c>
      <c r="ET121" s="1"/>
      <c r="EU121" s="1"/>
      <c r="EV121" s="1">
        <v>1304087</v>
      </c>
      <c r="EW121" s="1">
        <v>1430049</v>
      </c>
      <c r="EX121" s="1"/>
      <c r="EY121" s="1"/>
      <c r="EZ121" s="1">
        <v>6605954</v>
      </c>
      <c r="FA121" s="1">
        <v>6982867</v>
      </c>
      <c r="FB121" s="1"/>
      <c r="FC121" s="1"/>
      <c r="FD121" s="1">
        <v>1690140</v>
      </c>
      <c r="FE121" s="1"/>
      <c r="FF121" s="1"/>
      <c r="FG121" s="1"/>
      <c r="FH121" s="1">
        <v>163772</v>
      </c>
      <c r="FI121" s="1">
        <v>151270</v>
      </c>
      <c r="FJ121" s="1">
        <v>595409</v>
      </c>
      <c r="FK121" s="1">
        <v>608531</v>
      </c>
      <c r="FL121" s="1"/>
      <c r="FM121" s="1"/>
      <c r="FN121" s="1">
        <v>750964</v>
      </c>
      <c r="FO121" s="1">
        <v>449442</v>
      </c>
      <c r="FP121" s="1">
        <v>7923</v>
      </c>
      <c r="FQ121" s="1">
        <v>11867</v>
      </c>
      <c r="FR121" s="1">
        <v>518684</v>
      </c>
      <c r="FS121" s="1">
        <v>536403</v>
      </c>
      <c r="FT121" s="1">
        <v>897256</v>
      </c>
      <c r="FU121" s="1">
        <v>2088939</v>
      </c>
      <c r="FV121" s="1">
        <v>11622426</v>
      </c>
      <c r="FW121" s="1">
        <v>14488541</v>
      </c>
      <c r="FX121" s="1"/>
      <c r="FY121" s="1"/>
      <c r="FZ121" s="1">
        <v>296202</v>
      </c>
      <c r="GA121" s="1">
        <v>290297</v>
      </c>
      <c r="GB121" s="1">
        <v>24452817</v>
      </c>
      <c r="GC121" s="1">
        <v>27038206</v>
      </c>
      <c r="GD121" s="1">
        <v>27501752</v>
      </c>
      <c r="GE121" s="1">
        <v>30984090</v>
      </c>
    </row>
    <row r="122" spans="1:187" s="3" customFormat="1" ht="12" x14ac:dyDescent="0.2">
      <c r="A122" s="1">
        <v>20006</v>
      </c>
      <c r="B122" s="1">
        <v>0</v>
      </c>
      <c r="C122" s="1">
        <v>201198744</v>
      </c>
      <c r="D122" s="1" t="s">
        <v>146</v>
      </c>
      <c r="E122" s="1">
        <v>26</v>
      </c>
      <c r="F122" s="1">
        <v>8</v>
      </c>
      <c r="G122" s="1">
        <v>0</v>
      </c>
      <c r="H122" s="1">
        <v>1</v>
      </c>
      <c r="I122" s="1">
        <v>2021</v>
      </c>
      <c r="J122" s="1">
        <v>4</v>
      </c>
      <c r="K122" s="1" t="s">
        <v>0</v>
      </c>
      <c r="L122" s="1">
        <v>1</v>
      </c>
      <c r="M122" s="1">
        <v>30</v>
      </c>
      <c r="N122" s="1">
        <v>0</v>
      </c>
      <c r="O122" s="1">
        <v>44603.749884259261</v>
      </c>
      <c r="P122" s="1">
        <v>499832</v>
      </c>
      <c r="Q122" s="1">
        <v>499832</v>
      </c>
      <c r="R122" s="1">
        <v>177691</v>
      </c>
      <c r="S122" s="1">
        <v>256608</v>
      </c>
      <c r="T122" s="1">
        <v>322141</v>
      </c>
      <c r="U122" s="1">
        <v>243224</v>
      </c>
      <c r="V122" s="1"/>
      <c r="W122" s="1"/>
      <c r="X122" s="1"/>
      <c r="Y122" s="1"/>
      <c r="Z122" s="1"/>
      <c r="AA122" s="1"/>
      <c r="AB122" s="1">
        <v>25506657</v>
      </c>
      <c r="AC122" s="1">
        <v>25506657</v>
      </c>
      <c r="AD122" s="1">
        <v>8882</v>
      </c>
      <c r="AE122" s="1">
        <v>8882</v>
      </c>
      <c r="AF122" s="1">
        <v>7085205</v>
      </c>
      <c r="AG122" s="1">
        <v>7085205</v>
      </c>
      <c r="AH122" s="1">
        <v>65560</v>
      </c>
      <c r="AI122" s="1">
        <v>65560</v>
      </c>
      <c r="AJ122" s="1">
        <v>18347010</v>
      </c>
      <c r="AK122" s="1">
        <v>18347010</v>
      </c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2">
        <v>25828798</v>
      </c>
      <c r="AW122" s="1">
        <v>25749881</v>
      </c>
      <c r="AX122" s="1">
        <v>22649681</v>
      </c>
      <c r="AY122" s="1">
        <v>22494400</v>
      </c>
      <c r="AZ122" s="1">
        <v>6581943</v>
      </c>
      <c r="BA122" s="1">
        <v>8268174</v>
      </c>
      <c r="BB122" s="1"/>
      <c r="BC122" s="1"/>
      <c r="BD122" s="1">
        <v>16067738</v>
      </c>
      <c r="BE122" s="1">
        <v>14226226</v>
      </c>
      <c r="BF122" s="1"/>
      <c r="BG122" s="1"/>
      <c r="BH122" s="1">
        <v>6418</v>
      </c>
      <c r="BI122" s="1"/>
      <c r="BJ122" s="1"/>
      <c r="BK122" s="1"/>
      <c r="BL122" s="1">
        <v>11028169</v>
      </c>
      <c r="BM122" s="1">
        <v>10154022</v>
      </c>
      <c r="BN122" s="1"/>
      <c r="BO122" s="1"/>
      <c r="BP122" s="1">
        <v>1336922</v>
      </c>
      <c r="BQ122" s="1">
        <v>2099521</v>
      </c>
      <c r="BR122" s="1"/>
      <c r="BS122" s="1"/>
      <c r="BT122" s="1">
        <v>875208</v>
      </c>
      <c r="BU122" s="1">
        <v>875291</v>
      </c>
      <c r="BV122" s="1">
        <v>500</v>
      </c>
      <c r="BW122" s="1"/>
      <c r="BX122" s="1">
        <v>7400229</v>
      </c>
      <c r="BY122" s="1">
        <v>6707277</v>
      </c>
      <c r="BZ122" s="1">
        <v>995415</v>
      </c>
      <c r="CA122" s="1">
        <v>61306</v>
      </c>
      <c r="CB122" s="1">
        <v>8942</v>
      </c>
      <c r="CC122" s="1">
        <v>8031</v>
      </c>
      <c r="CD122" s="1"/>
      <c r="CE122" s="1"/>
      <c r="CF122" s="1"/>
      <c r="CG122" s="1"/>
      <c r="CH122" s="1">
        <v>410953</v>
      </c>
      <c r="CI122" s="1">
        <v>402596</v>
      </c>
      <c r="CJ122" s="1">
        <v>12036</v>
      </c>
      <c r="CK122" s="1">
        <v>16385</v>
      </c>
      <c r="CL122" s="1"/>
      <c r="CM122" s="1"/>
      <c r="CN122" s="1">
        <v>657</v>
      </c>
      <c r="CO122" s="1">
        <v>9882</v>
      </c>
      <c r="CP122" s="1">
        <v>11379</v>
      </c>
      <c r="CQ122" s="1">
        <v>6503</v>
      </c>
      <c r="CR122" s="1"/>
      <c r="CS122" s="1"/>
      <c r="CT122" s="1"/>
      <c r="CU122" s="1"/>
      <c r="CV122" s="1"/>
      <c r="CW122" s="1"/>
      <c r="CX122" s="2">
        <v>33696304</v>
      </c>
      <c r="CY122" s="1">
        <v>32664807</v>
      </c>
      <c r="CZ122" s="1">
        <v>59525102</v>
      </c>
      <c r="DA122" s="1">
        <v>58414688</v>
      </c>
      <c r="DB122" s="1">
        <v>9220189</v>
      </c>
      <c r="DC122" s="1">
        <v>9220189</v>
      </c>
      <c r="DD122" s="1"/>
      <c r="DE122" s="1"/>
      <c r="DF122" s="1">
        <v>1811667</v>
      </c>
      <c r="DG122" s="1">
        <v>1811667</v>
      </c>
      <c r="DH122" s="1"/>
      <c r="DI122" s="1"/>
      <c r="DJ122" s="1">
        <v>-554947</v>
      </c>
      <c r="DK122" s="1">
        <v>-24902</v>
      </c>
      <c r="DL122" s="24">
        <v>34260174</v>
      </c>
      <c r="DM122" s="24">
        <v>34267232</v>
      </c>
      <c r="DN122" s="1"/>
      <c r="DO122" s="1"/>
      <c r="DP122" s="2">
        <v>44737083</v>
      </c>
      <c r="DQ122" s="1">
        <v>45274186</v>
      </c>
      <c r="DR122" s="2">
        <v>13270723</v>
      </c>
      <c r="DS122" s="1">
        <v>0</v>
      </c>
      <c r="DT122" s="1"/>
      <c r="DU122" s="1"/>
      <c r="DV122" s="1"/>
      <c r="DW122" s="1"/>
      <c r="DX122" s="1"/>
      <c r="DY122" s="1"/>
      <c r="DZ122" s="1"/>
      <c r="EA122" s="1"/>
      <c r="EB122" s="1">
        <v>13270723</v>
      </c>
      <c r="EC122" s="1">
        <v>0</v>
      </c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2">
        <v>1517296</v>
      </c>
      <c r="EQ122" s="1">
        <v>13140502</v>
      </c>
      <c r="ER122" s="1">
        <v>941606</v>
      </c>
      <c r="ES122" s="1">
        <v>11311325</v>
      </c>
      <c r="ET122" s="1"/>
      <c r="EU122" s="1"/>
      <c r="EV122" s="1">
        <v>60927</v>
      </c>
      <c r="EW122" s="1">
        <v>6756076</v>
      </c>
      <c r="EX122" s="1"/>
      <c r="EY122" s="1"/>
      <c r="EZ122" s="1">
        <v>207806</v>
      </c>
      <c r="FA122" s="1"/>
      <c r="FB122" s="1"/>
      <c r="FC122" s="1"/>
      <c r="FD122" s="1"/>
      <c r="FE122" s="1"/>
      <c r="FF122" s="1"/>
      <c r="FG122" s="1"/>
      <c r="FH122" s="1">
        <v>18135</v>
      </c>
      <c r="FI122" s="1">
        <v>260068</v>
      </c>
      <c r="FJ122" s="1">
        <v>77537</v>
      </c>
      <c r="FK122" s="1">
        <v>428120</v>
      </c>
      <c r="FL122" s="1"/>
      <c r="FM122" s="1"/>
      <c r="FN122" s="1">
        <v>71708</v>
      </c>
      <c r="FO122" s="1">
        <v>224650</v>
      </c>
      <c r="FP122" s="1">
        <v>32994</v>
      </c>
      <c r="FQ122" s="1">
        <v>32994</v>
      </c>
      <c r="FR122" s="1">
        <v>363252</v>
      </c>
      <c r="FS122" s="1">
        <v>1822184</v>
      </c>
      <c r="FT122" s="1"/>
      <c r="FU122" s="1"/>
      <c r="FV122" s="1">
        <v>575690</v>
      </c>
      <c r="FW122" s="1">
        <v>1829177</v>
      </c>
      <c r="FX122" s="1"/>
      <c r="FY122" s="1"/>
      <c r="FZ122" s="1">
        <v>109247</v>
      </c>
      <c r="GA122" s="1">
        <v>1787233</v>
      </c>
      <c r="GB122" s="1">
        <v>14788019</v>
      </c>
      <c r="GC122" s="1">
        <v>13140502</v>
      </c>
      <c r="GD122" s="1">
        <v>59525102</v>
      </c>
      <c r="GE122" s="1">
        <v>58414688</v>
      </c>
    </row>
    <row r="123" spans="1:187" s="3" customFormat="1" ht="12" x14ac:dyDescent="0.2">
      <c r="A123" s="1">
        <v>20006</v>
      </c>
      <c r="B123" s="1">
        <v>0</v>
      </c>
      <c r="C123" s="1">
        <v>201198744</v>
      </c>
      <c r="D123" s="1" t="s">
        <v>146</v>
      </c>
      <c r="E123" s="1">
        <v>26</v>
      </c>
      <c r="F123" s="1">
        <v>8</v>
      </c>
      <c r="G123" s="1">
        <v>0</v>
      </c>
      <c r="H123" s="1">
        <v>1</v>
      </c>
      <c r="I123" s="1">
        <v>2020</v>
      </c>
      <c r="J123" s="1">
        <v>4</v>
      </c>
      <c r="K123" s="1" t="s">
        <v>0</v>
      </c>
      <c r="L123" s="1">
        <v>2</v>
      </c>
      <c r="M123" s="1">
        <v>30</v>
      </c>
      <c r="N123" s="1">
        <v>0</v>
      </c>
      <c r="O123" s="1">
        <v>44342.596851851849</v>
      </c>
      <c r="P123" s="1">
        <v>304083</v>
      </c>
      <c r="Q123" s="1">
        <v>499832</v>
      </c>
      <c r="R123" s="1">
        <v>116933</v>
      </c>
      <c r="S123" s="1">
        <v>177691</v>
      </c>
      <c r="T123" s="1">
        <v>187150</v>
      </c>
      <c r="U123" s="1">
        <v>322141</v>
      </c>
      <c r="V123" s="1"/>
      <c r="W123" s="1"/>
      <c r="X123" s="1"/>
      <c r="Y123" s="1"/>
      <c r="Z123" s="1"/>
      <c r="AA123" s="1"/>
      <c r="AB123" s="1">
        <v>25504657</v>
      </c>
      <c r="AC123" s="1">
        <v>25506657</v>
      </c>
      <c r="AD123" s="1">
        <v>8882</v>
      </c>
      <c r="AE123" s="1">
        <v>8882</v>
      </c>
      <c r="AF123" s="1">
        <v>7085205</v>
      </c>
      <c r="AG123" s="1">
        <v>7085205</v>
      </c>
      <c r="AH123" s="1">
        <v>63560</v>
      </c>
      <c r="AI123" s="1">
        <v>65560</v>
      </c>
      <c r="AJ123" s="1">
        <v>18347010</v>
      </c>
      <c r="AK123" s="1">
        <v>18347010</v>
      </c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2">
        <v>25691807</v>
      </c>
      <c r="AW123" s="1">
        <v>25828798</v>
      </c>
      <c r="AX123" s="1">
        <v>19005817</v>
      </c>
      <c r="AY123" s="1">
        <v>22649681</v>
      </c>
      <c r="AZ123" s="1">
        <v>16293354</v>
      </c>
      <c r="BA123" s="1">
        <v>6581943</v>
      </c>
      <c r="BB123" s="1"/>
      <c r="BC123" s="1"/>
      <c r="BD123" s="1">
        <v>2712463</v>
      </c>
      <c r="BE123" s="1">
        <v>16067738</v>
      </c>
      <c r="BF123" s="1"/>
      <c r="BG123" s="1"/>
      <c r="BH123" s="1">
        <v>9844</v>
      </c>
      <c r="BI123" s="1">
        <v>6418</v>
      </c>
      <c r="BJ123" s="1"/>
      <c r="BK123" s="1"/>
      <c r="BL123" s="1">
        <v>14239557</v>
      </c>
      <c r="BM123" s="1">
        <v>11028169</v>
      </c>
      <c r="BN123" s="1"/>
      <c r="BO123" s="1"/>
      <c r="BP123" s="1">
        <v>993361</v>
      </c>
      <c r="BQ123" s="1">
        <v>1336922</v>
      </c>
      <c r="BR123" s="1"/>
      <c r="BS123" s="1"/>
      <c r="BT123" s="1">
        <v>875208</v>
      </c>
      <c r="BU123" s="1">
        <v>875208</v>
      </c>
      <c r="BV123" s="1">
        <v>13936</v>
      </c>
      <c r="BW123" s="1">
        <v>500</v>
      </c>
      <c r="BX123" s="1">
        <v>8990866</v>
      </c>
      <c r="BY123" s="1">
        <v>7400229</v>
      </c>
      <c r="BZ123" s="1">
        <v>2932074</v>
      </c>
      <c r="CA123" s="1">
        <v>995415</v>
      </c>
      <c r="CB123" s="1">
        <v>14031</v>
      </c>
      <c r="CC123" s="1">
        <v>8942</v>
      </c>
      <c r="CD123" s="1">
        <v>110000</v>
      </c>
      <c r="CE123" s="1"/>
      <c r="CF123" s="1"/>
      <c r="CG123" s="1"/>
      <c r="CH123" s="1">
        <v>310081</v>
      </c>
      <c r="CI123" s="1">
        <v>410953</v>
      </c>
      <c r="CJ123" s="1">
        <v>5018129</v>
      </c>
      <c r="CK123" s="1">
        <v>12036</v>
      </c>
      <c r="CL123" s="1">
        <v>41</v>
      </c>
      <c r="CM123" s="1"/>
      <c r="CN123" s="1">
        <v>243670</v>
      </c>
      <c r="CO123" s="1">
        <v>657</v>
      </c>
      <c r="CP123" s="1">
        <v>4774418</v>
      </c>
      <c r="CQ123" s="1">
        <v>11379</v>
      </c>
      <c r="CR123" s="1"/>
      <c r="CS123" s="1"/>
      <c r="CT123" s="1"/>
      <c r="CU123" s="1"/>
      <c r="CV123" s="1"/>
      <c r="CW123" s="1"/>
      <c r="CX123" s="2">
        <v>38273347</v>
      </c>
      <c r="CY123" s="1">
        <v>33696304</v>
      </c>
      <c r="CZ123" s="1">
        <v>63965154</v>
      </c>
      <c r="DA123" s="1">
        <v>59525102</v>
      </c>
      <c r="DB123" s="1">
        <v>9220189</v>
      </c>
      <c r="DC123" s="1">
        <v>9220189</v>
      </c>
      <c r="DD123" s="1"/>
      <c r="DE123" s="1"/>
      <c r="DF123" s="1">
        <v>1740988</v>
      </c>
      <c r="DG123" s="1">
        <v>1811667</v>
      </c>
      <c r="DH123" s="1"/>
      <c r="DI123" s="1"/>
      <c r="DJ123" s="1">
        <v>512480</v>
      </c>
      <c r="DK123" s="1">
        <v>-554947</v>
      </c>
      <c r="DL123" s="24">
        <v>34260709</v>
      </c>
      <c r="DM123" s="24">
        <v>34260174</v>
      </c>
      <c r="DN123" s="1"/>
      <c r="DO123" s="1"/>
      <c r="DP123" s="2">
        <v>45734366</v>
      </c>
      <c r="DQ123" s="1">
        <v>44737083</v>
      </c>
      <c r="DR123" s="2">
        <v>17694297</v>
      </c>
      <c r="DS123" s="1">
        <v>13270723</v>
      </c>
      <c r="DT123" s="1"/>
      <c r="DU123" s="1"/>
      <c r="DV123" s="1"/>
      <c r="DW123" s="1"/>
      <c r="DX123" s="1"/>
      <c r="DY123" s="1"/>
      <c r="DZ123" s="1"/>
      <c r="EA123" s="1"/>
      <c r="EB123" s="1">
        <v>17694297</v>
      </c>
      <c r="EC123" s="1">
        <v>13270723</v>
      </c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2">
        <v>536491</v>
      </c>
      <c r="EQ123" s="1">
        <v>1517296</v>
      </c>
      <c r="ER123" s="1">
        <v>460801</v>
      </c>
      <c r="ES123" s="1">
        <v>941606</v>
      </c>
      <c r="ET123" s="1"/>
      <c r="EU123" s="1"/>
      <c r="EV123" s="1">
        <v>60926</v>
      </c>
      <c r="EW123" s="1">
        <v>60927</v>
      </c>
      <c r="EX123" s="1"/>
      <c r="EY123" s="1"/>
      <c r="EZ123" s="1">
        <v>198544</v>
      </c>
      <c r="FA123" s="1">
        <v>207806</v>
      </c>
      <c r="FB123" s="1"/>
      <c r="FC123" s="1"/>
      <c r="FD123" s="1"/>
      <c r="FE123" s="1"/>
      <c r="FF123" s="1"/>
      <c r="FG123" s="1"/>
      <c r="FH123" s="1">
        <v>8125</v>
      </c>
      <c r="FI123" s="1">
        <v>18135</v>
      </c>
      <c r="FJ123" s="1"/>
      <c r="FK123" s="1">
        <v>77537</v>
      </c>
      <c r="FL123" s="1"/>
      <c r="FM123" s="1"/>
      <c r="FN123" s="1">
        <v>503</v>
      </c>
      <c r="FO123" s="1">
        <v>71708</v>
      </c>
      <c r="FP123" s="1">
        <v>32994</v>
      </c>
      <c r="FQ123" s="1">
        <v>32994</v>
      </c>
      <c r="FR123" s="1">
        <v>63600</v>
      </c>
      <c r="FS123" s="1">
        <v>363252</v>
      </c>
      <c r="FT123" s="1"/>
      <c r="FU123" s="1"/>
      <c r="FV123" s="1">
        <v>75690</v>
      </c>
      <c r="FW123" s="1">
        <v>575690</v>
      </c>
      <c r="FX123" s="1"/>
      <c r="FY123" s="1"/>
      <c r="FZ123" s="1">
        <v>96109</v>
      </c>
      <c r="GA123" s="1">
        <v>109247</v>
      </c>
      <c r="GB123" s="1">
        <v>18230788</v>
      </c>
      <c r="GC123" s="1">
        <v>14788019</v>
      </c>
      <c r="GD123" s="1">
        <v>63965154</v>
      </c>
      <c r="GE123" s="1">
        <v>59525102</v>
      </c>
    </row>
    <row r="124" spans="1:187" s="3" customFormat="1" ht="12" x14ac:dyDescent="0.2">
      <c r="A124" s="1">
        <v>20006</v>
      </c>
      <c r="B124" s="1">
        <v>0</v>
      </c>
      <c r="C124" s="1">
        <v>201198744</v>
      </c>
      <c r="D124" s="1" t="s">
        <v>146</v>
      </c>
      <c r="E124" s="1">
        <v>26</v>
      </c>
      <c r="F124" s="1">
        <v>8</v>
      </c>
      <c r="G124" s="1">
        <v>0</v>
      </c>
      <c r="H124" s="1">
        <v>1</v>
      </c>
      <c r="I124" s="1">
        <v>2019</v>
      </c>
      <c r="J124" s="1">
        <v>4</v>
      </c>
      <c r="K124" s="1" t="s">
        <v>0</v>
      </c>
      <c r="L124" s="1">
        <v>2</v>
      </c>
      <c r="M124" s="1">
        <v>30</v>
      </c>
      <c r="N124" s="1">
        <v>0</v>
      </c>
      <c r="O124" s="1">
        <v>44240.624525462961</v>
      </c>
      <c r="P124" s="1">
        <v>212437</v>
      </c>
      <c r="Q124" s="1">
        <v>296029</v>
      </c>
      <c r="R124" s="1">
        <v>95069</v>
      </c>
      <c r="S124" s="1">
        <v>114749</v>
      </c>
      <c r="T124" s="1">
        <v>117368</v>
      </c>
      <c r="U124" s="1">
        <v>181280</v>
      </c>
      <c r="V124" s="1"/>
      <c r="W124" s="1"/>
      <c r="X124" s="1"/>
      <c r="Y124" s="1"/>
      <c r="Z124" s="1"/>
      <c r="AA124" s="1"/>
      <c r="AB124" s="1">
        <v>26936657</v>
      </c>
      <c r="AC124" s="1">
        <v>25504657</v>
      </c>
      <c r="AD124" s="1">
        <v>8882</v>
      </c>
      <c r="AE124" s="1">
        <v>8882</v>
      </c>
      <c r="AF124" s="1">
        <v>7085205</v>
      </c>
      <c r="AG124" s="1">
        <v>7085205</v>
      </c>
      <c r="AH124" s="1">
        <v>1363560</v>
      </c>
      <c r="AI124" s="1">
        <v>63560</v>
      </c>
      <c r="AJ124" s="1">
        <v>18479010</v>
      </c>
      <c r="AK124" s="1">
        <v>18347010</v>
      </c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2">
        <v>27054025</v>
      </c>
      <c r="AW124" s="1">
        <v>25685937</v>
      </c>
      <c r="AX124" s="1">
        <v>15633307</v>
      </c>
      <c r="AY124" s="1">
        <v>19005817</v>
      </c>
      <c r="AZ124" s="1">
        <v>15258583</v>
      </c>
      <c r="BA124" s="1">
        <v>16372247</v>
      </c>
      <c r="BB124" s="1"/>
      <c r="BC124" s="1"/>
      <c r="BD124" s="1">
        <v>374724</v>
      </c>
      <c r="BE124" s="1">
        <v>2633570</v>
      </c>
      <c r="BF124" s="1"/>
      <c r="BG124" s="1"/>
      <c r="BH124" s="1">
        <v>6248</v>
      </c>
      <c r="BI124" s="1">
        <v>9844</v>
      </c>
      <c r="BJ124" s="1"/>
      <c r="BK124" s="1"/>
      <c r="BL124" s="1">
        <v>31003416</v>
      </c>
      <c r="BM124" s="1">
        <v>14239557</v>
      </c>
      <c r="BN124" s="1"/>
      <c r="BO124" s="1"/>
      <c r="BP124" s="1">
        <v>28019704</v>
      </c>
      <c r="BQ124" s="1">
        <v>993361</v>
      </c>
      <c r="BR124" s="1"/>
      <c r="BS124" s="1"/>
      <c r="BT124" s="1">
        <v>1023038</v>
      </c>
      <c r="BU124" s="1">
        <v>875208</v>
      </c>
      <c r="BV124" s="1">
        <v>816</v>
      </c>
      <c r="BW124" s="1">
        <v>13936</v>
      </c>
      <c r="BX124" s="1">
        <v>1510299</v>
      </c>
      <c r="BY124" s="1">
        <v>8990866</v>
      </c>
      <c r="BZ124" s="1">
        <v>149222</v>
      </c>
      <c r="CA124" s="1">
        <v>2932074</v>
      </c>
      <c r="CB124" s="1">
        <v>11560</v>
      </c>
      <c r="CC124" s="1">
        <v>14031</v>
      </c>
      <c r="CD124" s="1"/>
      <c r="CE124" s="1">
        <v>110000</v>
      </c>
      <c r="CF124" s="1"/>
      <c r="CG124" s="1"/>
      <c r="CH124" s="1">
        <v>288777</v>
      </c>
      <c r="CI124" s="1">
        <v>310081</v>
      </c>
      <c r="CJ124" s="1">
        <v>449325</v>
      </c>
      <c r="CK124" s="1">
        <v>5018129</v>
      </c>
      <c r="CL124" s="1"/>
      <c r="CM124" s="1">
        <v>41</v>
      </c>
      <c r="CN124" s="1">
        <v>408399</v>
      </c>
      <c r="CO124" s="1">
        <v>243670</v>
      </c>
      <c r="CP124" s="1">
        <v>40926</v>
      </c>
      <c r="CQ124" s="1">
        <v>4774418</v>
      </c>
      <c r="CR124" s="1"/>
      <c r="CS124" s="1"/>
      <c r="CT124" s="1">
        <v>212000</v>
      </c>
      <c r="CU124" s="1"/>
      <c r="CV124" s="1"/>
      <c r="CW124" s="1"/>
      <c r="CX124" s="2">
        <v>47304296</v>
      </c>
      <c r="CY124" s="1">
        <v>38273347</v>
      </c>
      <c r="CZ124" s="1">
        <v>74358321</v>
      </c>
      <c r="DA124" s="1">
        <v>63959284</v>
      </c>
      <c r="DB124" s="1">
        <v>9220189</v>
      </c>
      <c r="DC124" s="1">
        <v>9220189</v>
      </c>
      <c r="DD124" s="1"/>
      <c r="DE124" s="1"/>
      <c r="DF124" s="1">
        <v>935712</v>
      </c>
      <c r="DG124" s="1">
        <v>1735118</v>
      </c>
      <c r="DH124" s="1"/>
      <c r="DI124" s="1"/>
      <c r="DJ124" s="1">
        <v>4507827</v>
      </c>
      <c r="DK124" s="1">
        <v>512480</v>
      </c>
      <c r="DL124" s="24">
        <v>34253132</v>
      </c>
      <c r="DM124" s="24">
        <v>34260709</v>
      </c>
      <c r="DN124" s="1"/>
      <c r="DO124" s="1"/>
      <c r="DP124" s="2">
        <v>48916860</v>
      </c>
      <c r="DQ124" s="1">
        <v>45728496</v>
      </c>
      <c r="DR124" s="2">
        <v>17826297</v>
      </c>
      <c r="DS124" s="1">
        <v>17694297</v>
      </c>
      <c r="DT124" s="1"/>
      <c r="DU124" s="1"/>
      <c r="DV124" s="1"/>
      <c r="DW124" s="1"/>
      <c r="DX124" s="1"/>
      <c r="DY124" s="1"/>
      <c r="DZ124" s="1"/>
      <c r="EA124" s="1"/>
      <c r="EB124" s="1">
        <v>17826297</v>
      </c>
      <c r="EC124" s="1">
        <v>17694297</v>
      </c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2">
        <v>7615164</v>
      </c>
      <c r="EQ124" s="1">
        <v>536491</v>
      </c>
      <c r="ER124" s="1">
        <v>7539474</v>
      </c>
      <c r="ES124" s="1">
        <v>460801</v>
      </c>
      <c r="ET124" s="1"/>
      <c r="EU124" s="1"/>
      <c r="EV124" s="1">
        <v>5026199</v>
      </c>
      <c r="EW124" s="1">
        <v>60926</v>
      </c>
      <c r="EX124" s="1"/>
      <c r="EY124" s="1"/>
      <c r="EZ124" s="1">
        <v>29340</v>
      </c>
      <c r="FA124" s="1">
        <v>198544</v>
      </c>
      <c r="FB124" s="1"/>
      <c r="FC124" s="1"/>
      <c r="FD124" s="1"/>
      <c r="FE124" s="1"/>
      <c r="FF124" s="1"/>
      <c r="FG124" s="1"/>
      <c r="FH124" s="1">
        <v>342226</v>
      </c>
      <c r="FI124" s="1">
        <v>8125</v>
      </c>
      <c r="FJ124" s="1">
        <v>52824</v>
      </c>
      <c r="FK124" s="1"/>
      <c r="FL124" s="1"/>
      <c r="FM124" s="1"/>
      <c r="FN124" s="1">
        <v>22312</v>
      </c>
      <c r="FO124" s="1">
        <v>503</v>
      </c>
      <c r="FP124" s="1"/>
      <c r="FQ124" s="1">
        <v>32994</v>
      </c>
      <c r="FR124" s="1">
        <v>70480</v>
      </c>
      <c r="FS124" s="1">
        <v>63600</v>
      </c>
      <c r="FT124" s="1"/>
      <c r="FU124" s="1"/>
      <c r="FV124" s="1">
        <v>75690</v>
      </c>
      <c r="FW124" s="1">
        <v>75690</v>
      </c>
      <c r="FX124" s="1"/>
      <c r="FY124" s="1"/>
      <c r="FZ124" s="1">
        <v>1996093</v>
      </c>
      <c r="GA124" s="1">
        <v>96109</v>
      </c>
      <c r="GB124" s="1">
        <v>25441461</v>
      </c>
      <c r="GC124" s="1">
        <v>18230788</v>
      </c>
      <c r="GD124" s="1">
        <v>74358321</v>
      </c>
      <c r="GE124" s="1">
        <v>63959284</v>
      </c>
    </row>
    <row r="125" spans="1:187" s="3" customFormat="1" x14ac:dyDescent="0.25">
      <c r="A125" s="1">
        <v>20006</v>
      </c>
      <c r="B125" s="1">
        <v>0</v>
      </c>
      <c r="C125" s="3">
        <v>201198744</v>
      </c>
      <c r="D125" s="3" t="s">
        <v>146</v>
      </c>
      <c r="E125" s="4">
        <v>26</v>
      </c>
      <c r="F125" s="4">
        <v>8</v>
      </c>
      <c r="G125" s="4">
        <v>0</v>
      </c>
      <c r="H125" s="4">
        <v>1</v>
      </c>
      <c r="I125" s="1">
        <v>2018</v>
      </c>
      <c r="J125" s="1">
        <v>4</v>
      </c>
      <c r="K125" s="3" t="s">
        <v>0</v>
      </c>
      <c r="L125" s="1">
        <v>2</v>
      </c>
      <c r="M125" s="1">
        <v>30</v>
      </c>
      <c r="N125" s="5">
        <v>0</v>
      </c>
      <c r="O125" s="6">
        <v>43641.642835648148</v>
      </c>
      <c r="P125" s="1">
        <v>245941</v>
      </c>
      <c r="Q125" s="1">
        <v>206616</v>
      </c>
      <c r="R125" s="1">
        <v>221324</v>
      </c>
      <c r="S125" s="1">
        <v>93504</v>
      </c>
      <c r="T125" s="1">
        <v>24617</v>
      </c>
      <c r="U125" s="1">
        <v>113112</v>
      </c>
      <c r="V125" s="1">
        <v>5392</v>
      </c>
      <c r="W125" s="1"/>
      <c r="X125" s="1"/>
      <c r="Y125" s="1"/>
      <c r="Z125" s="1">
        <v>5392</v>
      </c>
      <c r="AA125" s="1"/>
      <c r="AB125" s="1">
        <v>23462399</v>
      </c>
      <c r="AC125" s="1">
        <v>26936657</v>
      </c>
      <c r="AD125" s="1">
        <v>8882</v>
      </c>
      <c r="AE125" s="1">
        <v>8882</v>
      </c>
      <c r="AF125" s="1">
        <v>5512666</v>
      </c>
      <c r="AG125" s="1">
        <v>7085205</v>
      </c>
      <c r="AH125" s="1">
        <v>76697</v>
      </c>
      <c r="AI125" s="1">
        <v>1363560</v>
      </c>
      <c r="AJ125" s="1">
        <v>17864154</v>
      </c>
      <c r="AK125" s="1">
        <v>18479010</v>
      </c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2">
        <v>23492408</v>
      </c>
      <c r="AW125" s="1">
        <v>27049769</v>
      </c>
      <c r="AX125" s="1"/>
      <c r="AY125" s="1">
        <v>15633307</v>
      </c>
      <c r="AZ125" s="1"/>
      <c r="BA125" s="1">
        <v>15258583</v>
      </c>
      <c r="BB125" s="1"/>
      <c r="BC125" s="1"/>
      <c r="BD125" s="1"/>
      <c r="BE125" s="1">
        <v>374724</v>
      </c>
      <c r="BF125" s="1"/>
      <c r="BG125" s="1"/>
      <c r="BH125" s="1">
        <v>749</v>
      </c>
      <c r="BI125" s="1">
        <v>6248</v>
      </c>
      <c r="BJ125" s="1"/>
      <c r="BK125" s="1"/>
      <c r="BL125" s="1">
        <v>1085867</v>
      </c>
      <c r="BM125" s="1">
        <v>30939032</v>
      </c>
      <c r="BN125" s="1"/>
      <c r="BO125" s="1"/>
      <c r="BP125" s="1"/>
      <c r="BQ125" s="1">
        <v>28019704</v>
      </c>
      <c r="BR125" s="1"/>
      <c r="BS125" s="1"/>
      <c r="BT125" s="1">
        <v>761558</v>
      </c>
      <c r="BU125" s="1">
        <v>1023038</v>
      </c>
      <c r="BV125" s="1"/>
      <c r="BW125" s="1">
        <v>816</v>
      </c>
      <c r="BX125" s="1">
        <v>23448</v>
      </c>
      <c r="BY125" s="1">
        <v>1510299</v>
      </c>
      <c r="BZ125" s="1">
        <v>1605</v>
      </c>
      <c r="CA125" s="1">
        <v>96398</v>
      </c>
      <c r="CB125" s="1">
        <v>11694</v>
      </c>
      <c r="CC125" s="1"/>
      <c r="CD125" s="1"/>
      <c r="CE125" s="1"/>
      <c r="CF125" s="1"/>
      <c r="CG125" s="1"/>
      <c r="CH125" s="1">
        <v>287562</v>
      </c>
      <c r="CI125" s="1">
        <v>288777</v>
      </c>
      <c r="CJ125" s="1">
        <v>3401</v>
      </c>
      <c r="CK125" s="1">
        <v>449325</v>
      </c>
      <c r="CL125" s="1"/>
      <c r="CM125" s="1"/>
      <c r="CN125" s="1">
        <v>3401</v>
      </c>
      <c r="CO125" s="1">
        <v>408399</v>
      </c>
      <c r="CP125" s="1"/>
      <c r="CQ125" s="1">
        <v>40926</v>
      </c>
      <c r="CR125" s="1"/>
      <c r="CS125" s="1"/>
      <c r="CT125" s="1"/>
      <c r="CU125" s="1">
        <v>212000</v>
      </c>
      <c r="CV125" s="1"/>
      <c r="CW125" s="1"/>
      <c r="CX125" s="2">
        <v>1090017</v>
      </c>
      <c r="CY125" s="1">
        <v>47239912</v>
      </c>
      <c r="CZ125" s="1">
        <v>24582425</v>
      </c>
      <c r="DA125" s="1">
        <v>74289681</v>
      </c>
      <c r="DB125" s="1">
        <v>9220189</v>
      </c>
      <c r="DC125" s="1">
        <v>9220189</v>
      </c>
      <c r="DD125" s="1"/>
      <c r="DE125" s="1"/>
      <c r="DF125" s="1">
        <v>428409</v>
      </c>
      <c r="DG125" s="1">
        <v>931456</v>
      </c>
      <c r="DH125" s="1"/>
      <c r="DI125" s="1"/>
      <c r="DJ125" s="1">
        <v>-2418195</v>
      </c>
      <c r="DK125" s="1">
        <v>4507827</v>
      </c>
      <c r="DL125" s="24"/>
      <c r="DM125" s="24">
        <v>34253132</v>
      </c>
      <c r="DN125" s="1"/>
      <c r="DO125" s="1"/>
      <c r="DP125" s="2">
        <v>7230403</v>
      </c>
      <c r="DQ125" s="1">
        <v>48912604</v>
      </c>
      <c r="DR125" s="2">
        <v>17211441</v>
      </c>
      <c r="DS125" s="1">
        <v>17826297</v>
      </c>
      <c r="DT125" s="1"/>
      <c r="DU125" s="1"/>
      <c r="DV125" s="1"/>
      <c r="DW125" s="1"/>
      <c r="DX125" s="1"/>
      <c r="DY125" s="1"/>
      <c r="DZ125" s="1"/>
      <c r="EA125" s="1"/>
      <c r="EB125" s="1">
        <v>17211441</v>
      </c>
      <c r="EC125" s="1">
        <v>17826297</v>
      </c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2">
        <v>140581</v>
      </c>
      <c r="EQ125" s="1">
        <v>7550780</v>
      </c>
      <c r="ER125" s="1">
        <v>140581</v>
      </c>
      <c r="ES125" s="1">
        <v>7475090</v>
      </c>
      <c r="ET125" s="1"/>
      <c r="EU125" s="1"/>
      <c r="EV125" s="1"/>
      <c r="EW125" s="1">
        <v>5026199</v>
      </c>
      <c r="EX125" s="1"/>
      <c r="EY125" s="1"/>
      <c r="EZ125" s="1"/>
      <c r="FA125" s="1">
        <v>29340</v>
      </c>
      <c r="FB125" s="1"/>
      <c r="FC125" s="1"/>
      <c r="FD125" s="1"/>
      <c r="FE125" s="1"/>
      <c r="FF125" s="1"/>
      <c r="FG125" s="1"/>
      <c r="FH125" s="1"/>
      <c r="FI125" s="1">
        <v>342226</v>
      </c>
      <c r="FJ125" s="1"/>
      <c r="FK125" s="1"/>
      <c r="FL125" s="1"/>
      <c r="FM125" s="1"/>
      <c r="FN125" s="1"/>
      <c r="FO125" s="1">
        <v>10752</v>
      </c>
      <c r="FP125" s="1"/>
      <c r="FQ125" s="1"/>
      <c r="FR125" s="1">
        <v>33365</v>
      </c>
      <c r="FS125" s="1">
        <v>70480</v>
      </c>
      <c r="FT125" s="1"/>
      <c r="FU125" s="1"/>
      <c r="FV125" s="1"/>
      <c r="FW125" s="1">
        <v>75690</v>
      </c>
      <c r="FX125" s="1"/>
      <c r="FY125" s="1"/>
      <c r="FZ125" s="1">
        <v>107216</v>
      </c>
      <c r="GA125" s="1">
        <v>1996093</v>
      </c>
      <c r="GB125" s="1">
        <v>17352022</v>
      </c>
      <c r="GC125" s="1">
        <v>25377077</v>
      </c>
      <c r="GD125" s="1">
        <v>24582425</v>
      </c>
      <c r="GE125" s="1">
        <v>74289681</v>
      </c>
    </row>
    <row r="126" spans="1:187" s="3" customFormat="1" ht="12" x14ac:dyDescent="0.2">
      <c r="A126" s="1">
        <v>20006</v>
      </c>
      <c r="B126" s="1">
        <v>0</v>
      </c>
      <c r="C126" s="1">
        <v>201328304</v>
      </c>
      <c r="D126" s="1" t="s">
        <v>147</v>
      </c>
      <c r="E126" s="1">
        <v>18</v>
      </c>
      <c r="F126" s="1">
        <v>1</v>
      </c>
      <c r="G126" s="1">
        <v>0</v>
      </c>
      <c r="H126" s="1">
        <v>1</v>
      </c>
      <c r="I126" s="1">
        <v>2021</v>
      </c>
      <c r="J126" s="1">
        <v>4</v>
      </c>
      <c r="K126" s="1" t="s">
        <v>0</v>
      </c>
      <c r="L126" s="1">
        <v>1</v>
      </c>
      <c r="M126" s="1">
        <v>30</v>
      </c>
      <c r="N126" s="1">
        <v>0</v>
      </c>
      <c r="O126" s="1">
        <v>44607.73746527778</v>
      </c>
      <c r="P126" s="1">
        <v>39548520</v>
      </c>
      <c r="Q126" s="1">
        <v>40364796</v>
      </c>
      <c r="R126" s="1">
        <v>16043539</v>
      </c>
      <c r="S126" s="1">
        <v>19248411</v>
      </c>
      <c r="T126" s="1">
        <v>23504981</v>
      </c>
      <c r="U126" s="1">
        <v>21116385</v>
      </c>
      <c r="V126" s="1"/>
      <c r="W126" s="1"/>
      <c r="X126" s="1"/>
      <c r="Y126" s="1"/>
      <c r="Z126" s="1">
        <v>0</v>
      </c>
      <c r="AA126" s="1">
        <v>0</v>
      </c>
      <c r="AB126" s="1">
        <v>1427072</v>
      </c>
      <c r="AC126" s="1">
        <v>1380052</v>
      </c>
      <c r="AD126" s="1">
        <v>388560</v>
      </c>
      <c r="AE126" s="1">
        <v>388560</v>
      </c>
      <c r="AF126" s="1"/>
      <c r="AG126" s="1"/>
      <c r="AH126" s="1"/>
      <c r="AI126" s="1"/>
      <c r="AJ126" s="1"/>
      <c r="AK126" s="1"/>
      <c r="AL126" s="1">
        <v>1038512</v>
      </c>
      <c r="AM126" s="1">
        <v>991492</v>
      </c>
      <c r="AN126" s="1">
        <v>95410</v>
      </c>
      <c r="AO126" s="1">
        <v>22885</v>
      </c>
      <c r="AP126" s="1">
        <v>875258</v>
      </c>
      <c r="AQ126" s="1">
        <v>875258</v>
      </c>
      <c r="AR126" s="1"/>
      <c r="AS126" s="1"/>
      <c r="AT126" s="1"/>
      <c r="AU126" s="1"/>
      <c r="AV126" s="2">
        <v>25902721</v>
      </c>
      <c r="AW126" s="1">
        <v>23394580</v>
      </c>
      <c r="AX126" s="1">
        <v>68405870</v>
      </c>
      <c r="AY126" s="1">
        <v>49833266</v>
      </c>
      <c r="AZ126" s="1">
        <v>64861903</v>
      </c>
      <c r="BA126" s="1">
        <v>46143447</v>
      </c>
      <c r="BB126" s="1"/>
      <c r="BC126" s="1"/>
      <c r="BD126" s="1">
        <v>2892074</v>
      </c>
      <c r="BE126" s="1">
        <v>3532814</v>
      </c>
      <c r="BF126" s="1">
        <v>651893</v>
      </c>
      <c r="BG126" s="1">
        <v>157005</v>
      </c>
      <c r="BH126" s="1"/>
      <c r="BI126" s="1"/>
      <c r="BJ126" s="1"/>
      <c r="BK126" s="1"/>
      <c r="BL126" s="1">
        <v>62799347</v>
      </c>
      <c r="BM126" s="1">
        <v>50050533</v>
      </c>
      <c r="BN126" s="1"/>
      <c r="BO126" s="1"/>
      <c r="BP126" s="1">
        <v>394562</v>
      </c>
      <c r="BQ126" s="1">
        <v>560833</v>
      </c>
      <c r="BR126" s="1"/>
      <c r="BS126" s="1"/>
      <c r="BT126" s="1">
        <v>5177657</v>
      </c>
      <c r="BU126" s="1">
        <v>1304926</v>
      </c>
      <c r="BV126" s="1">
        <v>2335</v>
      </c>
      <c r="BW126" s="1">
        <v>536</v>
      </c>
      <c r="BX126" s="1">
        <v>51454979</v>
      </c>
      <c r="BY126" s="1">
        <v>47804883</v>
      </c>
      <c r="BZ126" s="1">
        <v>5518341</v>
      </c>
      <c r="CA126" s="1">
        <v>259707</v>
      </c>
      <c r="CB126" s="1">
        <v>26725</v>
      </c>
      <c r="CC126" s="1">
        <v>33901</v>
      </c>
      <c r="CD126" s="1"/>
      <c r="CE126" s="1"/>
      <c r="CF126" s="1">
        <v>0</v>
      </c>
      <c r="CG126" s="1">
        <v>198</v>
      </c>
      <c r="CH126" s="1">
        <v>224748</v>
      </c>
      <c r="CI126" s="1">
        <v>85549</v>
      </c>
      <c r="CJ126" s="1">
        <v>1065272</v>
      </c>
      <c r="CK126" s="1">
        <v>593087</v>
      </c>
      <c r="CL126" s="1">
        <v>0</v>
      </c>
      <c r="CM126" s="1">
        <v>0</v>
      </c>
      <c r="CN126" s="1">
        <v>50793</v>
      </c>
      <c r="CO126" s="1">
        <v>135901</v>
      </c>
      <c r="CP126" s="1"/>
      <c r="CQ126" s="1"/>
      <c r="CR126" s="1">
        <v>1014479</v>
      </c>
      <c r="CS126" s="1">
        <v>457186</v>
      </c>
      <c r="CT126" s="1"/>
      <c r="CU126" s="1"/>
      <c r="CV126" s="1">
        <v>1593997</v>
      </c>
      <c r="CW126" s="1">
        <v>1593997</v>
      </c>
      <c r="CX126" s="2">
        <v>133864486</v>
      </c>
      <c r="CY126" s="1">
        <v>102070883</v>
      </c>
      <c r="CZ126" s="1">
        <v>159767207</v>
      </c>
      <c r="DA126" s="1">
        <v>125465463</v>
      </c>
      <c r="DB126" s="1">
        <v>598250</v>
      </c>
      <c r="DC126" s="1">
        <v>598250</v>
      </c>
      <c r="DD126" s="1">
        <v>129127</v>
      </c>
      <c r="DE126" s="1">
        <v>129127</v>
      </c>
      <c r="DF126" s="1">
        <v>6044408</v>
      </c>
      <c r="DG126" s="1">
        <v>6277934</v>
      </c>
      <c r="DH126" s="1"/>
      <c r="DI126" s="1"/>
      <c r="DJ126" s="1">
        <v>6226504</v>
      </c>
      <c r="DK126" s="1">
        <v>2001144</v>
      </c>
      <c r="DL126" s="24">
        <v>366027</v>
      </c>
      <c r="DM126" s="24">
        <v>366027</v>
      </c>
      <c r="DN126" s="1">
        <v>7116167</v>
      </c>
      <c r="DO126" s="1">
        <v>11908721</v>
      </c>
      <c r="DP126" s="2">
        <v>20480483</v>
      </c>
      <c r="DQ126" s="1">
        <v>21281203</v>
      </c>
      <c r="DR126" s="2">
        <v>2425426</v>
      </c>
      <c r="DS126" s="1">
        <v>1094069</v>
      </c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>
        <v>2425426</v>
      </c>
      <c r="EK126" s="1">
        <v>1094069</v>
      </c>
      <c r="EL126" s="1"/>
      <c r="EM126" s="1"/>
      <c r="EN126" s="1"/>
      <c r="EO126" s="1"/>
      <c r="EP126" s="2">
        <v>136861298</v>
      </c>
      <c r="EQ126" s="1">
        <v>103090191</v>
      </c>
      <c r="ER126" s="1">
        <v>10993753</v>
      </c>
      <c r="ES126" s="1">
        <v>9548806</v>
      </c>
      <c r="ET126" s="1"/>
      <c r="EU126" s="1"/>
      <c r="EV126" s="1">
        <v>4540297</v>
      </c>
      <c r="EW126" s="1">
        <v>4072181</v>
      </c>
      <c r="EX126" s="1"/>
      <c r="EY126" s="1"/>
      <c r="EZ126" s="1">
        <v>592103</v>
      </c>
      <c r="FA126" s="1">
        <v>972</v>
      </c>
      <c r="FB126" s="1"/>
      <c r="FC126" s="1"/>
      <c r="FD126" s="1"/>
      <c r="FE126" s="1"/>
      <c r="FF126" s="1"/>
      <c r="FG126" s="1"/>
      <c r="FH126" s="1">
        <v>799141</v>
      </c>
      <c r="FI126" s="1">
        <v>375546</v>
      </c>
      <c r="FJ126" s="1">
        <v>840709</v>
      </c>
      <c r="FK126" s="1">
        <v>1757623</v>
      </c>
      <c r="FL126" s="1"/>
      <c r="FM126" s="1"/>
      <c r="FN126" s="1">
        <v>747892</v>
      </c>
      <c r="FO126" s="1">
        <v>736278</v>
      </c>
      <c r="FP126" s="1">
        <v>1914481</v>
      </c>
      <c r="FQ126" s="1">
        <v>924554</v>
      </c>
      <c r="FR126" s="1">
        <v>1237623</v>
      </c>
      <c r="FS126" s="1">
        <v>1523170</v>
      </c>
      <c r="FT126" s="1">
        <v>3241677</v>
      </c>
      <c r="FU126" s="1">
        <v>1076680</v>
      </c>
      <c r="FV126" s="1">
        <v>122625868</v>
      </c>
      <c r="FW126" s="1">
        <v>92464705</v>
      </c>
      <c r="FX126" s="1"/>
      <c r="FY126" s="1"/>
      <c r="FZ126" s="1">
        <v>321507</v>
      </c>
      <c r="GA126" s="1">
        <v>158482</v>
      </c>
      <c r="GB126" s="1">
        <v>139286724</v>
      </c>
      <c r="GC126" s="1">
        <v>104184260</v>
      </c>
      <c r="GD126" s="1">
        <v>159767207</v>
      </c>
      <c r="GE126" s="1">
        <v>125465463</v>
      </c>
    </row>
    <row r="127" spans="1:187" s="3" customFormat="1" ht="12" x14ac:dyDescent="0.2">
      <c r="A127" s="1">
        <v>20006</v>
      </c>
      <c r="B127" s="1">
        <v>0</v>
      </c>
      <c r="C127" s="1">
        <v>201328304</v>
      </c>
      <c r="D127" s="1" t="s">
        <v>147</v>
      </c>
      <c r="E127" s="1">
        <v>18</v>
      </c>
      <c r="F127" s="1">
        <v>1</v>
      </c>
      <c r="G127" s="1">
        <v>0</v>
      </c>
      <c r="H127" s="1">
        <v>1</v>
      </c>
      <c r="I127" s="1">
        <v>2020</v>
      </c>
      <c r="J127" s="1">
        <v>4</v>
      </c>
      <c r="K127" s="1" t="s">
        <v>0</v>
      </c>
      <c r="L127" s="1">
        <v>1</v>
      </c>
      <c r="M127" s="1">
        <v>30</v>
      </c>
      <c r="N127" s="1">
        <v>0</v>
      </c>
      <c r="O127" s="1">
        <v>44242.643125000002</v>
      </c>
      <c r="P127" s="1">
        <v>38515595</v>
      </c>
      <c r="Q127" s="1">
        <v>39548520</v>
      </c>
      <c r="R127" s="1">
        <v>12281714</v>
      </c>
      <c r="S127" s="1">
        <v>16043539</v>
      </c>
      <c r="T127" s="1">
        <v>26233881</v>
      </c>
      <c r="U127" s="1">
        <v>23504981</v>
      </c>
      <c r="V127" s="1"/>
      <c r="W127" s="1"/>
      <c r="X127" s="1"/>
      <c r="Y127" s="1"/>
      <c r="Z127" s="1">
        <v>0</v>
      </c>
      <c r="AA127" s="1">
        <v>0</v>
      </c>
      <c r="AB127" s="1">
        <v>1438072</v>
      </c>
      <c r="AC127" s="1">
        <v>1427072</v>
      </c>
      <c r="AD127" s="1">
        <v>388560</v>
      </c>
      <c r="AE127" s="1">
        <v>388560</v>
      </c>
      <c r="AF127" s="1"/>
      <c r="AG127" s="1"/>
      <c r="AH127" s="1"/>
      <c r="AI127" s="1"/>
      <c r="AJ127" s="1"/>
      <c r="AK127" s="1"/>
      <c r="AL127" s="1">
        <v>1049512</v>
      </c>
      <c r="AM127" s="1">
        <v>1038512</v>
      </c>
      <c r="AN127" s="1">
        <v>95600</v>
      </c>
      <c r="AO127" s="1">
        <v>95410</v>
      </c>
      <c r="AP127" s="1">
        <v>954571</v>
      </c>
      <c r="AQ127" s="1">
        <v>875258</v>
      </c>
      <c r="AR127" s="1"/>
      <c r="AS127" s="1"/>
      <c r="AT127" s="1"/>
      <c r="AU127" s="1"/>
      <c r="AV127" s="2">
        <v>28722124</v>
      </c>
      <c r="AW127" s="1">
        <v>25902721</v>
      </c>
      <c r="AX127" s="1">
        <v>72197304</v>
      </c>
      <c r="AY127" s="1">
        <v>68405870</v>
      </c>
      <c r="AZ127" s="1">
        <v>64467154</v>
      </c>
      <c r="BA127" s="1">
        <v>64861903</v>
      </c>
      <c r="BB127" s="1"/>
      <c r="BC127" s="1"/>
      <c r="BD127" s="1">
        <v>5998064</v>
      </c>
      <c r="BE127" s="1">
        <v>2892074</v>
      </c>
      <c r="BF127" s="1">
        <v>1732086</v>
      </c>
      <c r="BG127" s="1">
        <v>651893</v>
      </c>
      <c r="BH127" s="1"/>
      <c r="BI127" s="1"/>
      <c r="BJ127" s="1"/>
      <c r="BK127" s="1"/>
      <c r="BL127" s="1">
        <v>73109526</v>
      </c>
      <c r="BM127" s="1">
        <v>63200447</v>
      </c>
      <c r="BN127" s="1"/>
      <c r="BO127" s="1"/>
      <c r="BP127" s="1">
        <v>83209</v>
      </c>
      <c r="BQ127" s="1">
        <v>394562</v>
      </c>
      <c r="BR127" s="1"/>
      <c r="BS127" s="1"/>
      <c r="BT127" s="1">
        <v>18611270</v>
      </c>
      <c r="BU127" s="1">
        <v>5578757</v>
      </c>
      <c r="BV127" s="1">
        <v>1802</v>
      </c>
      <c r="BW127" s="1">
        <v>2335</v>
      </c>
      <c r="BX127" s="1">
        <v>50746715</v>
      </c>
      <c r="BY127" s="1">
        <v>51454979</v>
      </c>
      <c r="BZ127" s="1">
        <v>3300592</v>
      </c>
      <c r="CA127" s="1">
        <v>5518341</v>
      </c>
      <c r="CB127" s="1">
        <v>75426</v>
      </c>
      <c r="CC127" s="1">
        <v>26725</v>
      </c>
      <c r="CD127" s="1"/>
      <c r="CE127" s="1"/>
      <c r="CF127" s="1">
        <v>53631</v>
      </c>
      <c r="CG127" s="1">
        <v>0</v>
      </c>
      <c r="CH127" s="1">
        <v>236881</v>
      </c>
      <c r="CI127" s="1">
        <v>224748</v>
      </c>
      <c r="CJ127" s="1">
        <v>4466793</v>
      </c>
      <c r="CK127" s="1">
        <v>1065272</v>
      </c>
      <c r="CL127" s="1">
        <v>1537</v>
      </c>
      <c r="CM127" s="1">
        <v>0</v>
      </c>
      <c r="CN127" s="1">
        <v>441720</v>
      </c>
      <c r="CO127" s="1">
        <v>50793</v>
      </c>
      <c r="CP127" s="1"/>
      <c r="CQ127" s="1"/>
      <c r="CR127" s="1">
        <v>4023536</v>
      </c>
      <c r="CS127" s="1">
        <v>1014479</v>
      </c>
      <c r="CT127" s="1"/>
      <c r="CU127" s="1"/>
      <c r="CV127" s="1">
        <v>1593997</v>
      </c>
      <c r="CW127" s="1">
        <v>1593997</v>
      </c>
      <c r="CX127" s="2">
        <v>151367620</v>
      </c>
      <c r="CY127" s="1">
        <v>134265586</v>
      </c>
      <c r="CZ127" s="1">
        <v>180089744</v>
      </c>
      <c r="DA127" s="1">
        <v>160168307</v>
      </c>
      <c r="DB127" s="1">
        <v>598250</v>
      </c>
      <c r="DC127" s="1">
        <v>598250</v>
      </c>
      <c r="DD127" s="1">
        <v>129127</v>
      </c>
      <c r="DE127" s="1">
        <v>129127</v>
      </c>
      <c r="DF127" s="1">
        <v>5269500</v>
      </c>
      <c r="DG127" s="1">
        <v>6044408</v>
      </c>
      <c r="DH127" s="1"/>
      <c r="DI127" s="1"/>
      <c r="DJ127" s="1">
        <v>11475460</v>
      </c>
      <c r="DK127" s="1">
        <v>6226504</v>
      </c>
      <c r="DL127" s="24">
        <v>23146</v>
      </c>
      <c r="DM127" s="24">
        <v>366027</v>
      </c>
      <c r="DN127" s="1"/>
      <c r="DO127" s="1">
        <v>7116167</v>
      </c>
      <c r="DP127" s="2">
        <v>17495483</v>
      </c>
      <c r="DQ127" s="1">
        <v>20480483</v>
      </c>
      <c r="DR127" s="2">
        <v>5232262</v>
      </c>
      <c r="DS127" s="1">
        <v>2425426</v>
      </c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>
        <v>5232262</v>
      </c>
      <c r="EK127" s="1">
        <v>2425426</v>
      </c>
      <c r="EL127" s="1"/>
      <c r="EM127" s="1"/>
      <c r="EN127" s="1"/>
      <c r="EO127" s="1"/>
      <c r="EP127" s="2">
        <v>157361999</v>
      </c>
      <c r="EQ127" s="1">
        <v>137262398</v>
      </c>
      <c r="ER127" s="1">
        <v>11839165</v>
      </c>
      <c r="ES127" s="1">
        <v>11394853</v>
      </c>
      <c r="ET127" s="1"/>
      <c r="EU127" s="1"/>
      <c r="EV127" s="1">
        <v>4816129</v>
      </c>
      <c r="EW127" s="1">
        <v>4941397</v>
      </c>
      <c r="EX127" s="1"/>
      <c r="EY127" s="1"/>
      <c r="EZ127" s="1">
        <v>50142</v>
      </c>
      <c r="FA127" s="1">
        <v>592103</v>
      </c>
      <c r="FB127" s="1"/>
      <c r="FC127" s="1"/>
      <c r="FD127" s="1"/>
      <c r="FE127" s="1"/>
      <c r="FF127" s="1"/>
      <c r="FG127" s="1"/>
      <c r="FH127" s="1">
        <v>461646</v>
      </c>
      <c r="FI127" s="1">
        <v>799141</v>
      </c>
      <c r="FJ127" s="1">
        <v>1243508</v>
      </c>
      <c r="FK127" s="1">
        <v>840709</v>
      </c>
      <c r="FL127" s="1"/>
      <c r="FM127" s="1"/>
      <c r="FN127" s="1">
        <v>3007336</v>
      </c>
      <c r="FO127" s="1">
        <v>747892</v>
      </c>
      <c r="FP127" s="1">
        <v>395996</v>
      </c>
      <c r="FQ127" s="1">
        <v>1914481</v>
      </c>
      <c r="FR127" s="1">
        <v>1562607</v>
      </c>
      <c r="FS127" s="1">
        <v>1237623</v>
      </c>
      <c r="FT127" s="1">
        <v>2242019</v>
      </c>
      <c r="FU127" s="1">
        <v>3241677</v>
      </c>
      <c r="FV127" s="1">
        <v>143280815</v>
      </c>
      <c r="FW127" s="1">
        <v>122625868</v>
      </c>
      <c r="FX127" s="1"/>
      <c r="FY127" s="1"/>
      <c r="FZ127" s="1">
        <v>301801</v>
      </c>
      <c r="GA127" s="1">
        <v>321507</v>
      </c>
      <c r="GB127" s="1">
        <v>162594261</v>
      </c>
      <c r="GC127" s="1">
        <v>139687824</v>
      </c>
      <c r="GD127" s="1">
        <v>180089744</v>
      </c>
      <c r="GE127" s="1">
        <v>160168307</v>
      </c>
    </row>
    <row r="128" spans="1:187" s="3" customFormat="1" ht="12" x14ac:dyDescent="0.2">
      <c r="A128" s="1">
        <v>20006</v>
      </c>
      <c r="B128" s="1">
        <v>0</v>
      </c>
      <c r="C128" s="1">
        <v>201328304</v>
      </c>
      <c r="D128" s="1" t="s">
        <v>147</v>
      </c>
      <c r="E128" s="1">
        <v>18</v>
      </c>
      <c r="F128" s="1">
        <v>1</v>
      </c>
      <c r="G128" s="1">
        <v>0</v>
      </c>
      <c r="H128" s="1">
        <v>1</v>
      </c>
      <c r="I128" s="1">
        <v>2019</v>
      </c>
      <c r="J128" s="1">
        <v>4</v>
      </c>
      <c r="K128" s="1" t="s">
        <v>0</v>
      </c>
      <c r="L128" s="1">
        <v>1</v>
      </c>
      <c r="M128" s="1">
        <v>30</v>
      </c>
      <c r="N128" s="1">
        <v>0</v>
      </c>
      <c r="O128" s="1">
        <v>43878.729074074072</v>
      </c>
      <c r="P128" s="1">
        <v>18026465</v>
      </c>
      <c r="Q128" s="1">
        <v>38125919</v>
      </c>
      <c r="R128" s="1">
        <v>10491751</v>
      </c>
      <c r="S128" s="1">
        <v>12200131</v>
      </c>
      <c r="T128" s="1">
        <v>7534714</v>
      </c>
      <c r="U128" s="1">
        <v>25925788</v>
      </c>
      <c r="V128" s="1">
        <v>17668</v>
      </c>
      <c r="W128" s="1">
        <v>0</v>
      </c>
      <c r="X128" s="1">
        <v>17668</v>
      </c>
      <c r="Y128" s="1">
        <v>0</v>
      </c>
      <c r="Z128" s="1">
        <v>0</v>
      </c>
      <c r="AA128" s="1">
        <v>0</v>
      </c>
      <c r="AB128" s="1">
        <v>1433072</v>
      </c>
      <c r="AC128" s="1">
        <v>1438072</v>
      </c>
      <c r="AD128" s="1">
        <v>388560</v>
      </c>
      <c r="AE128" s="1">
        <v>388560</v>
      </c>
      <c r="AF128" s="1"/>
      <c r="AG128" s="1"/>
      <c r="AH128" s="1"/>
      <c r="AI128" s="1"/>
      <c r="AJ128" s="1"/>
      <c r="AK128" s="1"/>
      <c r="AL128" s="1">
        <v>1044512</v>
      </c>
      <c r="AM128" s="1">
        <v>1049512</v>
      </c>
      <c r="AN128" s="1">
        <v>15044614</v>
      </c>
      <c r="AO128" s="1">
        <v>95600</v>
      </c>
      <c r="AP128" s="1">
        <v>3030163</v>
      </c>
      <c r="AQ128" s="1">
        <v>954571</v>
      </c>
      <c r="AR128" s="1">
        <v>441438</v>
      </c>
      <c r="AS128" s="1">
        <v>0</v>
      </c>
      <c r="AT128" s="1"/>
      <c r="AU128" s="1"/>
      <c r="AV128" s="2">
        <v>27484001</v>
      </c>
      <c r="AW128" s="1">
        <v>28414031</v>
      </c>
      <c r="AX128" s="1">
        <v>47331407</v>
      </c>
      <c r="AY128" s="1">
        <v>72197304</v>
      </c>
      <c r="AZ128" s="1">
        <v>43498388</v>
      </c>
      <c r="BA128" s="1">
        <v>64467154</v>
      </c>
      <c r="BB128" s="1">
        <v>136839</v>
      </c>
      <c r="BC128" s="1">
        <v>0</v>
      </c>
      <c r="BD128" s="1">
        <v>606923</v>
      </c>
      <c r="BE128" s="1">
        <v>5998064</v>
      </c>
      <c r="BF128" s="1">
        <v>3089257</v>
      </c>
      <c r="BG128" s="1">
        <v>1732086</v>
      </c>
      <c r="BH128" s="1"/>
      <c r="BI128" s="1"/>
      <c r="BJ128" s="1"/>
      <c r="BK128" s="1"/>
      <c r="BL128" s="1">
        <v>44057896</v>
      </c>
      <c r="BM128" s="1">
        <v>73109526</v>
      </c>
      <c r="BN128" s="1"/>
      <c r="BO128" s="1"/>
      <c r="BP128" s="1">
        <v>89188</v>
      </c>
      <c r="BQ128" s="1">
        <v>110384</v>
      </c>
      <c r="BR128" s="1"/>
      <c r="BS128" s="1">
        <v>0</v>
      </c>
      <c r="BT128" s="1">
        <v>6133326</v>
      </c>
      <c r="BU128" s="1">
        <v>18542095</v>
      </c>
      <c r="BV128" s="1">
        <v>106478</v>
      </c>
      <c r="BW128" s="1">
        <v>1802</v>
      </c>
      <c r="BX128" s="1">
        <v>37155874</v>
      </c>
      <c r="BY128" s="1">
        <v>50788715</v>
      </c>
      <c r="BZ128" s="1">
        <v>553798</v>
      </c>
      <c r="CA128" s="1">
        <v>3300592</v>
      </c>
      <c r="CB128" s="1"/>
      <c r="CC128" s="1">
        <v>75426</v>
      </c>
      <c r="CD128" s="1"/>
      <c r="CE128" s="1"/>
      <c r="CF128" s="1"/>
      <c r="CG128" s="1">
        <v>53631</v>
      </c>
      <c r="CH128" s="1">
        <v>19232</v>
      </c>
      <c r="CI128" s="1">
        <v>236881</v>
      </c>
      <c r="CJ128" s="1">
        <v>912060</v>
      </c>
      <c r="CK128" s="1">
        <v>4466793</v>
      </c>
      <c r="CL128" s="1">
        <v>1027</v>
      </c>
      <c r="CM128" s="1">
        <v>1537</v>
      </c>
      <c r="CN128" s="1">
        <v>215780</v>
      </c>
      <c r="CO128" s="1">
        <v>441720</v>
      </c>
      <c r="CP128" s="1"/>
      <c r="CQ128" s="1"/>
      <c r="CR128" s="1">
        <v>695253</v>
      </c>
      <c r="CS128" s="1">
        <v>4023536</v>
      </c>
      <c r="CT128" s="1"/>
      <c r="CU128" s="1"/>
      <c r="CV128" s="1">
        <v>297949</v>
      </c>
      <c r="CW128" s="1">
        <v>1593997</v>
      </c>
      <c r="CX128" s="2">
        <v>92599312</v>
      </c>
      <c r="CY128" s="1">
        <v>151367620</v>
      </c>
      <c r="CZ128" s="1">
        <v>120083313</v>
      </c>
      <c r="DA128" s="1">
        <v>179781651</v>
      </c>
      <c r="DB128" s="1">
        <v>598250</v>
      </c>
      <c r="DC128" s="1">
        <v>598250</v>
      </c>
      <c r="DD128" s="1">
        <v>129127</v>
      </c>
      <c r="DE128" s="1">
        <v>129127</v>
      </c>
      <c r="DF128" s="1">
        <v>5032162</v>
      </c>
      <c r="DG128" s="1">
        <v>4961407</v>
      </c>
      <c r="DH128" s="1"/>
      <c r="DI128" s="1"/>
      <c r="DJ128" s="1">
        <v>-486250</v>
      </c>
      <c r="DK128" s="1">
        <v>11475460</v>
      </c>
      <c r="DL128" s="24">
        <v>23146</v>
      </c>
      <c r="DM128" s="24">
        <v>23146</v>
      </c>
      <c r="DN128" s="1"/>
      <c r="DO128" s="1"/>
      <c r="DP128" s="2">
        <v>5296435</v>
      </c>
      <c r="DQ128" s="1">
        <v>17187390</v>
      </c>
      <c r="DR128" s="2">
        <v>7324512</v>
      </c>
      <c r="DS128" s="1">
        <v>5232262</v>
      </c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>
        <v>7324512</v>
      </c>
      <c r="EK128" s="1">
        <v>5232262</v>
      </c>
      <c r="EL128" s="1"/>
      <c r="EM128" s="1"/>
      <c r="EN128" s="1"/>
      <c r="EO128" s="1"/>
      <c r="EP128" s="2">
        <v>107462366</v>
      </c>
      <c r="EQ128" s="1">
        <v>157361999</v>
      </c>
      <c r="ER128" s="1">
        <v>22370829</v>
      </c>
      <c r="ES128" s="1">
        <v>11839165</v>
      </c>
      <c r="ET128" s="1"/>
      <c r="EU128" s="1"/>
      <c r="EV128" s="1">
        <v>3908090</v>
      </c>
      <c r="EW128" s="1">
        <v>4830806</v>
      </c>
      <c r="EX128" s="1">
        <v>0</v>
      </c>
      <c r="EY128" s="1">
        <v>0</v>
      </c>
      <c r="EZ128" s="1">
        <v>10625164</v>
      </c>
      <c r="FA128" s="1">
        <v>35465</v>
      </c>
      <c r="FB128" s="1"/>
      <c r="FC128" s="1"/>
      <c r="FD128" s="1"/>
      <c r="FE128" s="1"/>
      <c r="FF128" s="1"/>
      <c r="FG128" s="1"/>
      <c r="FH128" s="1">
        <v>453820</v>
      </c>
      <c r="FI128" s="1">
        <v>461646</v>
      </c>
      <c r="FJ128" s="1">
        <v>940832</v>
      </c>
      <c r="FK128" s="1">
        <v>1243508</v>
      </c>
      <c r="FL128" s="1"/>
      <c r="FM128" s="1"/>
      <c r="FN128" s="1">
        <v>5329615</v>
      </c>
      <c r="FO128" s="1">
        <v>3007336</v>
      </c>
      <c r="FP128" s="1">
        <v>479817</v>
      </c>
      <c r="FQ128" s="1">
        <v>395996</v>
      </c>
      <c r="FR128" s="1">
        <v>468183</v>
      </c>
      <c r="FS128" s="1">
        <v>1562607</v>
      </c>
      <c r="FT128" s="1">
        <v>1790000</v>
      </c>
      <c r="FU128" s="1">
        <v>2242019</v>
      </c>
      <c r="FV128" s="1">
        <v>83301537</v>
      </c>
      <c r="FW128" s="1">
        <v>143280815</v>
      </c>
      <c r="FX128" s="1"/>
      <c r="FY128" s="1"/>
      <c r="FZ128" s="1">
        <v>165308</v>
      </c>
      <c r="GA128" s="1">
        <v>301801</v>
      </c>
      <c r="GB128" s="1">
        <v>114786878</v>
      </c>
      <c r="GC128" s="1">
        <v>162594261</v>
      </c>
      <c r="GD128" s="1">
        <v>120083313</v>
      </c>
      <c r="GE128" s="1">
        <v>179781651</v>
      </c>
    </row>
    <row r="129" spans="1:188" s="3" customFormat="1" x14ac:dyDescent="0.25">
      <c r="A129" s="1">
        <v>20006</v>
      </c>
      <c r="B129" s="1">
        <v>0</v>
      </c>
      <c r="C129" s="3">
        <v>201328304</v>
      </c>
      <c r="D129" s="3" t="s">
        <v>147</v>
      </c>
      <c r="E129" s="4">
        <v>18</v>
      </c>
      <c r="F129" s="4">
        <v>1</v>
      </c>
      <c r="G129" s="4">
        <v>0</v>
      </c>
      <c r="H129" s="4">
        <v>1</v>
      </c>
      <c r="I129" s="1">
        <v>2018</v>
      </c>
      <c r="J129" s="1">
        <v>4</v>
      </c>
      <c r="K129" s="3" t="s">
        <v>0</v>
      </c>
      <c r="L129" s="1">
        <v>2</v>
      </c>
      <c r="M129" s="1">
        <v>30</v>
      </c>
      <c r="N129" s="5">
        <v>0</v>
      </c>
      <c r="O129" s="6">
        <v>43567.452453703707</v>
      </c>
      <c r="P129" s="1">
        <v>17425239</v>
      </c>
      <c r="Q129" s="1">
        <v>17859899</v>
      </c>
      <c r="R129" s="1">
        <v>9184711</v>
      </c>
      <c r="S129" s="1">
        <v>10416392</v>
      </c>
      <c r="T129" s="1">
        <v>8240528</v>
      </c>
      <c r="U129" s="1">
        <v>7443507</v>
      </c>
      <c r="V129" s="1">
        <v>17668</v>
      </c>
      <c r="W129" s="1">
        <v>17668</v>
      </c>
      <c r="X129" s="1">
        <v>17668</v>
      </c>
      <c r="Y129" s="1">
        <v>17668</v>
      </c>
      <c r="Z129" s="1">
        <v>0</v>
      </c>
      <c r="AA129" s="1">
        <v>0</v>
      </c>
      <c r="AB129" s="1">
        <v>1235825</v>
      </c>
      <c r="AC129" s="1">
        <v>1433072</v>
      </c>
      <c r="AD129" s="1">
        <v>388560</v>
      </c>
      <c r="AE129" s="1">
        <v>388560</v>
      </c>
      <c r="AF129" s="1"/>
      <c r="AG129" s="1"/>
      <c r="AH129" s="1"/>
      <c r="AI129" s="1"/>
      <c r="AJ129" s="1"/>
      <c r="AK129" s="1"/>
      <c r="AL129" s="1">
        <v>847265</v>
      </c>
      <c r="AM129" s="1">
        <v>1044512</v>
      </c>
      <c r="AN129" s="1">
        <v>100296</v>
      </c>
      <c r="AO129" s="1">
        <v>15044614</v>
      </c>
      <c r="AP129" s="1">
        <v>898409</v>
      </c>
      <c r="AQ129" s="1">
        <v>3030163</v>
      </c>
      <c r="AR129" s="1">
        <v>441438</v>
      </c>
      <c r="AS129" s="1">
        <v>441438</v>
      </c>
      <c r="AT129" s="1"/>
      <c r="AU129" s="1"/>
      <c r="AV129" s="2">
        <v>10916496</v>
      </c>
      <c r="AW129" s="1">
        <v>27392794</v>
      </c>
      <c r="AX129" s="1">
        <v>38697190</v>
      </c>
      <c r="AY129" s="1">
        <v>47331407</v>
      </c>
      <c r="AZ129" s="1">
        <v>36389490</v>
      </c>
      <c r="BA129" s="1">
        <v>43498388</v>
      </c>
      <c r="BB129" s="1">
        <v>0</v>
      </c>
      <c r="BC129" s="1">
        <v>136839</v>
      </c>
      <c r="BD129" s="1">
        <v>884468</v>
      </c>
      <c r="BE129" s="1">
        <v>606923</v>
      </c>
      <c r="BF129" s="1">
        <v>1423232</v>
      </c>
      <c r="BG129" s="1">
        <v>3089257</v>
      </c>
      <c r="BH129" s="1"/>
      <c r="BI129" s="1"/>
      <c r="BJ129" s="1"/>
      <c r="BK129" s="1"/>
      <c r="BL129" s="1">
        <v>53269464</v>
      </c>
      <c r="BM129" s="1">
        <v>44057896</v>
      </c>
      <c r="BN129" s="1"/>
      <c r="BO129" s="1"/>
      <c r="BP129" s="1">
        <v>331120</v>
      </c>
      <c r="BQ129" s="1">
        <v>89188</v>
      </c>
      <c r="BR129" s="1"/>
      <c r="BS129" s="1">
        <v>25658</v>
      </c>
      <c r="BT129" s="1">
        <v>9811041</v>
      </c>
      <c r="BU129" s="1">
        <v>6133326</v>
      </c>
      <c r="BV129" s="1">
        <v>72893</v>
      </c>
      <c r="BW129" s="1">
        <v>106478</v>
      </c>
      <c r="BX129" s="1">
        <v>42313878</v>
      </c>
      <c r="BY129" s="1">
        <v>37155874</v>
      </c>
      <c r="BZ129" s="1">
        <v>725323</v>
      </c>
      <c r="CA129" s="1">
        <v>553798</v>
      </c>
      <c r="CB129" s="1"/>
      <c r="CC129" s="1"/>
      <c r="CD129" s="1"/>
      <c r="CE129" s="1"/>
      <c r="CF129" s="1"/>
      <c r="CG129" s="1"/>
      <c r="CH129" s="1">
        <v>15209</v>
      </c>
      <c r="CI129" s="1">
        <v>19232</v>
      </c>
      <c r="CJ129" s="1">
        <v>247773</v>
      </c>
      <c r="CK129" s="1">
        <v>912060</v>
      </c>
      <c r="CL129" s="1">
        <v>1110</v>
      </c>
      <c r="CM129" s="1">
        <v>1027</v>
      </c>
      <c r="CN129" s="1">
        <v>197161</v>
      </c>
      <c r="CO129" s="1">
        <v>215780</v>
      </c>
      <c r="CP129" s="1"/>
      <c r="CQ129" s="1"/>
      <c r="CR129" s="1">
        <v>49502</v>
      </c>
      <c r="CS129" s="1">
        <v>695253</v>
      </c>
      <c r="CT129" s="1"/>
      <c r="CU129" s="1"/>
      <c r="CV129" s="1"/>
      <c r="CW129" s="1">
        <v>297949</v>
      </c>
      <c r="CX129" s="2">
        <v>92214427</v>
      </c>
      <c r="CY129" s="1">
        <v>92599312</v>
      </c>
      <c r="CZ129" s="1">
        <v>103130923</v>
      </c>
      <c r="DA129" s="1">
        <v>119992106</v>
      </c>
      <c r="DB129" s="1">
        <v>598250</v>
      </c>
      <c r="DC129" s="1">
        <v>598250</v>
      </c>
      <c r="DD129" s="1">
        <v>129127</v>
      </c>
      <c r="DE129" s="1">
        <v>129127</v>
      </c>
      <c r="DF129" s="1">
        <v>4943742</v>
      </c>
      <c r="DG129" s="1">
        <v>4940955</v>
      </c>
      <c r="DH129" s="1"/>
      <c r="DI129" s="1"/>
      <c r="DJ129" s="1">
        <v>-4668473</v>
      </c>
      <c r="DK129" s="1">
        <v>-486250</v>
      </c>
      <c r="DL129" s="24">
        <v>23146</v>
      </c>
      <c r="DM129" s="24">
        <v>23146</v>
      </c>
      <c r="DN129" s="1"/>
      <c r="DO129" s="1"/>
      <c r="DP129" s="2">
        <v>1025792</v>
      </c>
      <c r="DQ129" s="1">
        <v>5205228</v>
      </c>
      <c r="DR129" s="2">
        <v>11524741</v>
      </c>
      <c r="DS129" s="1">
        <v>7324512</v>
      </c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>
        <v>11524741</v>
      </c>
      <c r="EK129" s="1">
        <v>7324512</v>
      </c>
      <c r="EL129" s="1"/>
      <c r="EM129" s="1"/>
      <c r="EN129" s="1"/>
      <c r="EO129" s="1"/>
      <c r="EP129" s="2">
        <v>90580390</v>
      </c>
      <c r="EQ129" s="1">
        <v>107462366</v>
      </c>
      <c r="ER129" s="1">
        <v>23494364</v>
      </c>
      <c r="ES129" s="1">
        <v>22370829</v>
      </c>
      <c r="ET129" s="1"/>
      <c r="EU129" s="1"/>
      <c r="EV129" s="1">
        <v>2207790</v>
      </c>
      <c r="EW129" s="1">
        <v>3908090</v>
      </c>
      <c r="EX129" s="1"/>
      <c r="EY129" s="1"/>
      <c r="EZ129" s="1">
        <v>6251523</v>
      </c>
      <c r="FA129" s="1">
        <v>10625164</v>
      </c>
      <c r="FB129" s="1"/>
      <c r="FC129" s="1"/>
      <c r="FD129" s="1">
        <v>10962110</v>
      </c>
      <c r="FE129" s="1">
        <v>0</v>
      </c>
      <c r="FF129" s="1"/>
      <c r="FG129" s="1"/>
      <c r="FH129" s="1">
        <v>651064</v>
      </c>
      <c r="FI129" s="1">
        <v>453820</v>
      </c>
      <c r="FJ129" s="1">
        <v>1688</v>
      </c>
      <c r="FK129" s="1">
        <v>940832</v>
      </c>
      <c r="FL129" s="1"/>
      <c r="FM129" s="1"/>
      <c r="FN129" s="1">
        <v>2298842</v>
      </c>
      <c r="FO129" s="1">
        <v>5329615</v>
      </c>
      <c r="FP129" s="1">
        <v>563867</v>
      </c>
      <c r="FQ129" s="1">
        <v>479817</v>
      </c>
      <c r="FR129" s="1">
        <v>483769</v>
      </c>
      <c r="FS129" s="1">
        <v>468183</v>
      </c>
      <c r="FT129" s="1">
        <v>325000</v>
      </c>
      <c r="FU129" s="1">
        <v>1790000</v>
      </c>
      <c r="FV129" s="1">
        <v>66761026</v>
      </c>
      <c r="FW129" s="1">
        <v>83301537</v>
      </c>
      <c r="FX129" s="1"/>
      <c r="FY129" s="1"/>
      <c r="FZ129" s="1">
        <v>73711</v>
      </c>
      <c r="GA129" s="1">
        <v>165308</v>
      </c>
      <c r="GB129" s="1">
        <v>102105131</v>
      </c>
      <c r="GC129" s="1">
        <v>114786878</v>
      </c>
      <c r="GD129" s="1">
        <v>103130923</v>
      </c>
      <c r="GE129" s="1">
        <v>119992106</v>
      </c>
      <c r="GF129" s="14">
        <f t="shared" ref="GF129" si="0">GE129-DA129</f>
        <v>0</v>
      </c>
    </row>
    <row r="130" spans="1:188" s="3" customFormat="1" ht="12" x14ac:dyDescent="0.2">
      <c r="A130" s="1">
        <v>20006</v>
      </c>
      <c r="B130" s="1">
        <v>0</v>
      </c>
      <c r="C130" s="1">
        <v>201429036</v>
      </c>
      <c r="D130" s="1" t="s">
        <v>148</v>
      </c>
      <c r="E130" s="1">
        <v>6</v>
      </c>
      <c r="F130" s="1">
        <v>1</v>
      </c>
      <c r="G130" s="1">
        <v>0</v>
      </c>
      <c r="H130" s="1">
        <v>1</v>
      </c>
      <c r="I130" s="1">
        <v>2021</v>
      </c>
      <c r="J130" s="1">
        <v>4</v>
      </c>
      <c r="K130" s="1" t="s">
        <v>0</v>
      </c>
      <c r="L130" s="1">
        <v>1</v>
      </c>
      <c r="M130" s="1">
        <v>30</v>
      </c>
      <c r="N130" s="1">
        <v>0</v>
      </c>
      <c r="O130" s="1">
        <v>44606.665914351855</v>
      </c>
      <c r="P130" s="1">
        <v>30412756</v>
      </c>
      <c r="Q130" s="1">
        <v>30419133</v>
      </c>
      <c r="R130" s="1">
        <v>18677716</v>
      </c>
      <c r="S130" s="1">
        <v>20280717</v>
      </c>
      <c r="T130" s="1">
        <v>11735040</v>
      </c>
      <c r="U130" s="1">
        <v>10138416</v>
      </c>
      <c r="V130" s="1"/>
      <c r="W130" s="1"/>
      <c r="X130" s="1"/>
      <c r="Y130" s="1"/>
      <c r="Z130" s="1"/>
      <c r="AA130" s="1"/>
      <c r="AB130" s="1"/>
      <c r="AC130" s="1">
        <v>25517</v>
      </c>
      <c r="AD130" s="1"/>
      <c r="AE130" s="1"/>
      <c r="AF130" s="1"/>
      <c r="AG130" s="1"/>
      <c r="AH130" s="1"/>
      <c r="AI130" s="1"/>
      <c r="AJ130" s="1"/>
      <c r="AK130" s="1"/>
      <c r="AL130" s="1"/>
      <c r="AM130" s="1">
        <v>25517</v>
      </c>
      <c r="AN130" s="1"/>
      <c r="AO130" s="1"/>
      <c r="AP130" s="1">
        <v>3500</v>
      </c>
      <c r="AQ130" s="1"/>
      <c r="AR130" s="1"/>
      <c r="AS130" s="1"/>
      <c r="AT130" s="1"/>
      <c r="AU130" s="1"/>
      <c r="AV130" s="2">
        <v>11738540</v>
      </c>
      <c r="AW130" s="1">
        <v>10163933</v>
      </c>
      <c r="AX130" s="1">
        <v>14829541</v>
      </c>
      <c r="AY130" s="1">
        <v>21934465</v>
      </c>
      <c r="AZ130" s="1">
        <v>5635614</v>
      </c>
      <c r="BA130" s="1">
        <v>9390386</v>
      </c>
      <c r="BB130" s="1">
        <v>182540</v>
      </c>
      <c r="BC130" s="1">
        <v>77265</v>
      </c>
      <c r="BD130" s="1">
        <v>9011387</v>
      </c>
      <c r="BE130" s="1">
        <v>12466814</v>
      </c>
      <c r="BF130" s="1"/>
      <c r="BG130" s="1"/>
      <c r="BH130" s="1">
        <v>2914</v>
      </c>
      <c r="BI130" s="1"/>
      <c r="BJ130" s="1"/>
      <c r="BK130" s="1"/>
      <c r="BL130" s="1">
        <v>19852793</v>
      </c>
      <c r="BM130" s="1">
        <v>17845802</v>
      </c>
      <c r="BN130" s="1">
        <v>8982205</v>
      </c>
      <c r="BO130" s="1">
        <v>12635013</v>
      </c>
      <c r="BP130" s="1">
        <v>19127367</v>
      </c>
      <c r="BQ130" s="1">
        <v>16609735</v>
      </c>
      <c r="BR130" s="1"/>
      <c r="BS130" s="1"/>
      <c r="BT130" s="1"/>
      <c r="BU130" s="1"/>
      <c r="BV130" s="1"/>
      <c r="BW130" s="1"/>
      <c r="BX130" s="1">
        <v>509823</v>
      </c>
      <c r="BY130" s="1">
        <v>699497</v>
      </c>
      <c r="BZ130" s="1">
        <v>140249</v>
      </c>
      <c r="CA130" s="1">
        <v>1575</v>
      </c>
      <c r="CB130" s="1">
        <v>3</v>
      </c>
      <c r="CC130" s="1">
        <v>2</v>
      </c>
      <c r="CD130" s="1"/>
      <c r="CE130" s="1"/>
      <c r="CF130" s="1"/>
      <c r="CG130" s="1"/>
      <c r="CH130" s="1">
        <v>75351</v>
      </c>
      <c r="CI130" s="1">
        <v>534993</v>
      </c>
      <c r="CJ130" s="1">
        <v>475065</v>
      </c>
      <c r="CK130" s="1">
        <v>260341</v>
      </c>
      <c r="CL130" s="1"/>
      <c r="CM130" s="1"/>
      <c r="CN130" s="1">
        <v>464976</v>
      </c>
      <c r="CO130" s="1">
        <v>259309</v>
      </c>
      <c r="CP130" s="1"/>
      <c r="CQ130" s="1"/>
      <c r="CR130" s="1">
        <v>10089</v>
      </c>
      <c r="CS130" s="1">
        <v>1032</v>
      </c>
      <c r="CT130" s="1"/>
      <c r="CU130" s="1"/>
      <c r="CV130" s="1"/>
      <c r="CW130" s="1"/>
      <c r="CX130" s="2">
        <v>35160313</v>
      </c>
      <c r="CY130" s="1">
        <v>40040608</v>
      </c>
      <c r="CZ130" s="1">
        <v>46898853</v>
      </c>
      <c r="DA130" s="1">
        <v>50204541</v>
      </c>
      <c r="DB130" s="1">
        <v>2361888</v>
      </c>
      <c r="DC130" s="1">
        <v>2361888</v>
      </c>
      <c r="DD130" s="1"/>
      <c r="DE130" s="1"/>
      <c r="DF130" s="1">
        <v>7731829</v>
      </c>
      <c r="DG130" s="1">
        <v>7731829</v>
      </c>
      <c r="DH130" s="1"/>
      <c r="DI130" s="1"/>
      <c r="DJ130" s="1">
        <v>18831715</v>
      </c>
      <c r="DK130" s="1">
        <v>21468334</v>
      </c>
      <c r="DL130" s="24">
        <v>2360729</v>
      </c>
      <c r="DM130" s="24">
        <v>2367990</v>
      </c>
      <c r="DN130" s="1"/>
      <c r="DO130" s="1"/>
      <c r="DP130" s="2">
        <v>31286161</v>
      </c>
      <c r="DQ130" s="1">
        <v>33930041</v>
      </c>
      <c r="DR130" s="2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2">
        <v>15612692</v>
      </c>
      <c r="EQ130" s="1">
        <v>16274500</v>
      </c>
      <c r="ER130" s="1">
        <v>15612692</v>
      </c>
      <c r="ES130" s="1">
        <v>16274500</v>
      </c>
      <c r="ET130" s="1">
        <v>10362800</v>
      </c>
      <c r="EU130" s="1">
        <v>11146762</v>
      </c>
      <c r="EV130" s="1">
        <v>10208995</v>
      </c>
      <c r="EW130" s="1">
        <v>12991931</v>
      </c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>
        <v>573583</v>
      </c>
      <c r="FI130" s="1">
        <v>1483601</v>
      </c>
      <c r="FJ130" s="1">
        <v>1330038</v>
      </c>
      <c r="FK130" s="1">
        <v>414393</v>
      </c>
      <c r="FL130" s="1"/>
      <c r="FM130" s="1"/>
      <c r="FN130" s="1">
        <v>150424</v>
      </c>
      <c r="FO130" s="1">
        <v>236614</v>
      </c>
      <c r="FP130" s="1">
        <v>2809233</v>
      </c>
      <c r="FQ130" s="1">
        <v>796953</v>
      </c>
      <c r="FR130" s="1">
        <v>523090</v>
      </c>
      <c r="FS130" s="1">
        <v>329482</v>
      </c>
      <c r="FT130" s="1"/>
      <c r="FU130" s="1"/>
      <c r="FV130" s="1"/>
      <c r="FW130" s="1"/>
      <c r="FX130" s="1"/>
      <c r="FY130" s="1"/>
      <c r="FZ130" s="1">
        <v>17329</v>
      </c>
      <c r="GA130" s="1">
        <v>21526</v>
      </c>
      <c r="GB130" s="1">
        <v>15612692</v>
      </c>
      <c r="GC130" s="1">
        <v>16274500</v>
      </c>
      <c r="GD130" s="1">
        <v>46898853</v>
      </c>
      <c r="GE130" s="1">
        <v>50204541</v>
      </c>
    </row>
    <row r="131" spans="1:188" s="3" customFormat="1" ht="12" x14ac:dyDescent="0.2">
      <c r="A131" s="1">
        <v>20006</v>
      </c>
      <c r="B131" s="1">
        <v>0</v>
      </c>
      <c r="C131" s="1">
        <v>201429036</v>
      </c>
      <c r="D131" s="1" t="s">
        <v>148</v>
      </c>
      <c r="E131" s="1">
        <v>6</v>
      </c>
      <c r="F131" s="1">
        <v>1</v>
      </c>
      <c r="G131" s="1">
        <v>0</v>
      </c>
      <c r="H131" s="1">
        <v>1</v>
      </c>
      <c r="I131" s="1">
        <v>2020</v>
      </c>
      <c r="J131" s="1">
        <v>4</v>
      </c>
      <c r="K131" s="1" t="s">
        <v>0</v>
      </c>
      <c r="L131" s="1">
        <v>1</v>
      </c>
      <c r="M131" s="1">
        <v>30</v>
      </c>
      <c r="N131" s="1">
        <v>0</v>
      </c>
      <c r="O131" s="1">
        <v>44229.462268518517</v>
      </c>
      <c r="P131" s="1">
        <v>30038886</v>
      </c>
      <c r="Q131" s="1">
        <v>30412756</v>
      </c>
      <c r="R131" s="1">
        <v>15711911</v>
      </c>
      <c r="S131" s="1">
        <v>18677716</v>
      </c>
      <c r="T131" s="1">
        <v>14326975</v>
      </c>
      <c r="U131" s="1">
        <v>11735040</v>
      </c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>
        <v>3500</v>
      </c>
      <c r="AR131" s="1"/>
      <c r="AS131" s="1"/>
      <c r="AT131" s="1"/>
      <c r="AU131" s="1"/>
      <c r="AV131" s="2">
        <v>14326975</v>
      </c>
      <c r="AW131" s="1">
        <v>11738540</v>
      </c>
      <c r="AX131" s="1">
        <v>19926161</v>
      </c>
      <c r="AY131" s="1">
        <v>14829541</v>
      </c>
      <c r="AZ131" s="1">
        <v>7660904</v>
      </c>
      <c r="BA131" s="1">
        <v>5635614</v>
      </c>
      <c r="BB131" s="1">
        <v>153860</v>
      </c>
      <c r="BC131" s="1">
        <v>182540</v>
      </c>
      <c r="BD131" s="1">
        <v>12111397</v>
      </c>
      <c r="BE131" s="1">
        <v>9011387</v>
      </c>
      <c r="BF131" s="1"/>
      <c r="BG131" s="1"/>
      <c r="BH131" s="1">
        <v>7485</v>
      </c>
      <c r="BI131" s="1">
        <v>2914</v>
      </c>
      <c r="BJ131" s="1"/>
      <c r="BK131" s="1"/>
      <c r="BL131" s="1">
        <v>14277370</v>
      </c>
      <c r="BM131" s="1">
        <v>19852793</v>
      </c>
      <c r="BN131" s="1"/>
      <c r="BO131" s="1">
        <v>8982205</v>
      </c>
      <c r="BP131" s="1">
        <v>3593271</v>
      </c>
      <c r="BQ131" s="1">
        <v>19127367</v>
      </c>
      <c r="BR131" s="1"/>
      <c r="BS131" s="1"/>
      <c r="BT131" s="1">
        <v>7506352</v>
      </c>
      <c r="BU131" s="1"/>
      <c r="BV131" s="1"/>
      <c r="BW131" s="1"/>
      <c r="BX131" s="1">
        <v>3005659</v>
      </c>
      <c r="BY131" s="1">
        <v>509823</v>
      </c>
      <c r="BZ131" s="1">
        <v>48689</v>
      </c>
      <c r="CA131" s="1">
        <v>140249</v>
      </c>
      <c r="CB131" s="1">
        <v>63</v>
      </c>
      <c r="CC131" s="1">
        <v>3</v>
      </c>
      <c r="CD131" s="1"/>
      <c r="CE131" s="1"/>
      <c r="CF131" s="1"/>
      <c r="CG131" s="1"/>
      <c r="CH131" s="1">
        <v>123336</v>
      </c>
      <c r="CI131" s="1">
        <v>75351</v>
      </c>
      <c r="CJ131" s="1">
        <v>125813</v>
      </c>
      <c r="CK131" s="1">
        <v>475065</v>
      </c>
      <c r="CL131" s="1"/>
      <c r="CM131" s="1"/>
      <c r="CN131" s="1">
        <v>110326</v>
      </c>
      <c r="CO131" s="1">
        <v>464976</v>
      </c>
      <c r="CP131" s="1"/>
      <c r="CQ131" s="1"/>
      <c r="CR131" s="1">
        <v>15487</v>
      </c>
      <c r="CS131" s="1">
        <v>10089</v>
      </c>
      <c r="CT131" s="1"/>
      <c r="CU131" s="1"/>
      <c r="CV131" s="1"/>
      <c r="CW131" s="1"/>
      <c r="CX131" s="2">
        <v>34336829</v>
      </c>
      <c r="CY131" s="1">
        <v>35160313</v>
      </c>
      <c r="CZ131" s="1">
        <v>48663804</v>
      </c>
      <c r="DA131" s="1">
        <v>46898853</v>
      </c>
      <c r="DB131" s="1">
        <v>2361888</v>
      </c>
      <c r="DC131" s="1">
        <v>2361888</v>
      </c>
      <c r="DD131" s="1"/>
      <c r="DE131" s="1"/>
      <c r="DF131" s="1">
        <v>7731829</v>
      </c>
      <c r="DG131" s="1">
        <v>7731829</v>
      </c>
      <c r="DH131" s="1"/>
      <c r="DI131" s="1"/>
      <c r="DJ131" s="1">
        <v>20360864</v>
      </c>
      <c r="DK131" s="1">
        <v>18831715</v>
      </c>
      <c r="DL131" s="24">
        <v>3671772</v>
      </c>
      <c r="DM131" s="24">
        <v>2360729</v>
      </c>
      <c r="DN131" s="1"/>
      <c r="DO131" s="1"/>
      <c r="DP131" s="2">
        <v>34126353</v>
      </c>
      <c r="DQ131" s="1">
        <v>31286161</v>
      </c>
      <c r="DR131" s="2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2">
        <v>14537451</v>
      </c>
      <c r="EQ131" s="1">
        <v>15612692</v>
      </c>
      <c r="ER131" s="1">
        <v>14537451</v>
      </c>
      <c r="ES131" s="1">
        <v>15612692</v>
      </c>
      <c r="ET131" s="1"/>
      <c r="EU131" s="1">
        <v>10362800</v>
      </c>
      <c r="EV131" s="1">
        <v>9790592</v>
      </c>
      <c r="EW131" s="1">
        <v>10208995</v>
      </c>
      <c r="EX131" s="1"/>
      <c r="EY131" s="1"/>
      <c r="EZ131" s="1">
        <v>109160</v>
      </c>
      <c r="FA131" s="1"/>
      <c r="FB131" s="1"/>
      <c r="FC131" s="1"/>
      <c r="FD131" s="1"/>
      <c r="FE131" s="1"/>
      <c r="FF131" s="1"/>
      <c r="FG131" s="1"/>
      <c r="FH131" s="1">
        <v>3173676</v>
      </c>
      <c r="FI131" s="1">
        <v>573583</v>
      </c>
      <c r="FJ131" s="1">
        <v>253340</v>
      </c>
      <c r="FK131" s="1">
        <v>1330038</v>
      </c>
      <c r="FL131" s="1"/>
      <c r="FM131" s="1"/>
      <c r="FN131" s="1">
        <v>273735</v>
      </c>
      <c r="FO131" s="1">
        <v>150424</v>
      </c>
      <c r="FP131" s="1">
        <v>100592</v>
      </c>
      <c r="FQ131" s="1">
        <v>2809233</v>
      </c>
      <c r="FR131" s="1">
        <v>816051</v>
      </c>
      <c r="FS131" s="1">
        <v>523090</v>
      </c>
      <c r="FT131" s="1"/>
      <c r="FU131" s="1"/>
      <c r="FV131" s="1"/>
      <c r="FW131" s="1"/>
      <c r="FX131" s="1"/>
      <c r="FY131" s="1"/>
      <c r="FZ131" s="1">
        <v>20305</v>
      </c>
      <c r="GA131" s="1">
        <v>17329</v>
      </c>
      <c r="GB131" s="1">
        <v>14537451</v>
      </c>
      <c r="GC131" s="1">
        <v>15612692</v>
      </c>
      <c r="GD131" s="1">
        <v>48663804</v>
      </c>
      <c r="GE131" s="1">
        <v>46898853</v>
      </c>
    </row>
    <row r="132" spans="1:188" s="3" customFormat="1" ht="12" x14ac:dyDescent="0.2">
      <c r="A132" s="1">
        <v>20006</v>
      </c>
      <c r="B132" s="1">
        <v>0</v>
      </c>
      <c r="C132" s="1">
        <v>201429036</v>
      </c>
      <c r="D132" s="1" t="s">
        <v>148</v>
      </c>
      <c r="E132" s="1">
        <v>6</v>
      </c>
      <c r="F132" s="1">
        <v>1</v>
      </c>
      <c r="G132" s="1">
        <v>0</v>
      </c>
      <c r="H132" s="1">
        <v>1</v>
      </c>
      <c r="I132" s="1">
        <v>2019</v>
      </c>
      <c r="J132" s="1">
        <v>4</v>
      </c>
      <c r="K132" s="1" t="s">
        <v>0</v>
      </c>
      <c r="L132" s="1">
        <v>1</v>
      </c>
      <c r="M132" s="1">
        <v>30</v>
      </c>
      <c r="N132" s="1">
        <v>0</v>
      </c>
      <c r="O132" s="1">
        <v>43872.730069444442</v>
      </c>
      <c r="P132" s="1">
        <v>26149757</v>
      </c>
      <c r="Q132" s="1">
        <v>27852840</v>
      </c>
      <c r="R132" s="1">
        <v>11771657</v>
      </c>
      <c r="S132" s="1">
        <v>14621715</v>
      </c>
      <c r="T132" s="1">
        <v>14378100</v>
      </c>
      <c r="U132" s="1">
        <v>13231125</v>
      </c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>
        <v>689104</v>
      </c>
      <c r="AO132" s="1">
        <v>0</v>
      </c>
      <c r="AP132" s="1"/>
      <c r="AQ132" s="1"/>
      <c r="AR132" s="1"/>
      <c r="AS132" s="1"/>
      <c r="AT132" s="1"/>
      <c r="AU132" s="1"/>
      <c r="AV132" s="2">
        <v>15067204</v>
      </c>
      <c r="AW132" s="1">
        <v>13231125</v>
      </c>
      <c r="AX132" s="1">
        <v>15726970</v>
      </c>
      <c r="AY132" s="1">
        <v>19926161</v>
      </c>
      <c r="AZ132" s="1">
        <v>5819364</v>
      </c>
      <c r="BA132" s="1">
        <v>7660904</v>
      </c>
      <c r="BB132" s="1">
        <v>230793</v>
      </c>
      <c r="BC132" s="1">
        <v>153860</v>
      </c>
      <c r="BD132" s="1">
        <v>9676813</v>
      </c>
      <c r="BE132" s="1">
        <v>12111397</v>
      </c>
      <c r="BF132" s="1"/>
      <c r="BG132" s="1"/>
      <c r="BH132" s="1">
        <v>5251</v>
      </c>
      <c r="BI132" s="1">
        <v>7485</v>
      </c>
      <c r="BJ132" s="1"/>
      <c r="BK132" s="1"/>
      <c r="BL132" s="1">
        <v>12301135</v>
      </c>
      <c r="BM132" s="1">
        <v>14277370</v>
      </c>
      <c r="BN132" s="1"/>
      <c r="BO132" s="1"/>
      <c r="BP132" s="1">
        <v>1034543</v>
      </c>
      <c r="BQ132" s="1">
        <v>3593271</v>
      </c>
      <c r="BR132" s="1">
        <v>2715850</v>
      </c>
      <c r="BS132" s="1"/>
      <c r="BT132" s="1">
        <v>7741068</v>
      </c>
      <c r="BU132" s="1">
        <v>7506352</v>
      </c>
      <c r="BV132" s="1"/>
      <c r="BW132" s="1"/>
      <c r="BX132" s="1">
        <v>3442504</v>
      </c>
      <c r="BY132" s="1">
        <v>3005659</v>
      </c>
      <c r="BZ132" s="1">
        <v>1513</v>
      </c>
      <c r="CA132" s="1">
        <v>48689</v>
      </c>
      <c r="CB132" s="1"/>
      <c r="CC132" s="1">
        <v>63</v>
      </c>
      <c r="CD132" s="1"/>
      <c r="CE132" s="1"/>
      <c r="CF132" s="1"/>
      <c r="CG132" s="1"/>
      <c r="CH132" s="1">
        <v>81507</v>
      </c>
      <c r="CI132" s="1">
        <v>123336</v>
      </c>
      <c r="CJ132" s="1">
        <v>681134</v>
      </c>
      <c r="CK132" s="1">
        <v>125813</v>
      </c>
      <c r="CL132" s="1"/>
      <c r="CM132" s="1"/>
      <c r="CN132" s="1">
        <v>674334</v>
      </c>
      <c r="CO132" s="1">
        <v>110326</v>
      </c>
      <c r="CP132" s="1"/>
      <c r="CQ132" s="1"/>
      <c r="CR132" s="1">
        <v>6800</v>
      </c>
      <c r="CS132" s="1">
        <v>15487</v>
      </c>
      <c r="CT132" s="1">
        <v>1059689</v>
      </c>
      <c r="CU132" s="1"/>
      <c r="CV132" s="1"/>
      <c r="CW132" s="1"/>
      <c r="CX132" s="2">
        <v>29774179</v>
      </c>
      <c r="CY132" s="1">
        <v>34336829</v>
      </c>
      <c r="CZ132" s="1">
        <v>44841383</v>
      </c>
      <c r="DA132" s="1">
        <v>47567954</v>
      </c>
      <c r="DB132" s="1">
        <v>2361888</v>
      </c>
      <c r="DC132" s="1">
        <v>2361888</v>
      </c>
      <c r="DD132" s="1"/>
      <c r="DE132" s="1"/>
      <c r="DF132" s="1">
        <v>6637694</v>
      </c>
      <c r="DG132" s="1">
        <v>6635979</v>
      </c>
      <c r="DH132" s="1"/>
      <c r="DI132" s="1"/>
      <c r="DJ132" s="1">
        <v>16206734</v>
      </c>
      <c r="DK132" s="1">
        <v>20360864</v>
      </c>
      <c r="DL132" s="24">
        <v>4836883</v>
      </c>
      <c r="DM132" s="24">
        <v>3671772</v>
      </c>
      <c r="DN132" s="1"/>
      <c r="DO132" s="1"/>
      <c r="DP132" s="2">
        <v>30043199</v>
      </c>
      <c r="DQ132" s="1">
        <v>33030503</v>
      </c>
      <c r="DR132" s="2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2">
        <v>14798184</v>
      </c>
      <c r="EQ132" s="1">
        <v>14537451</v>
      </c>
      <c r="ER132" s="1">
        <v>14798184</v>
      </c>
      <c r="ES132" s="1">
        <v>14537451</v>
      </c>
      <c r="ET132" s="1"/>
      <c r="EU132" s="1"/>
      <c r="EV132" s="1">
        <v>11026427</v>
      </c>
      <c r="EW132" s="1">
        <v>9790592</v>
      </c>
      <c r="EX132" s="1"/>
      <c r="EY132" s="1"/>
      <c r="EZ132" s="1">
        <v>1071816</v>
      </c>
      <c r="FA132" s="1">
        <v>109160</v>
      </c>
      <c r="FB132" s="1"/>
      <c r="FC132" s="1"/>
      <c r="FD132" s="1"/>
      <c r="FE132" s="1"/>
      <c r="FF132" s="1"/>
      <c r="FG132" s="1"/>
      <c r="FH132" s="1">
        <v>1577360</v>
      </c>
      <c r="FI132" s="1">
        <v>3173676</v>
      </c>
      <c r="FJ132" s="1">
        <v>174157</v>
      </c>
      <c r="FK132" s="1">
        <v>253340</v>
      </c>
      <c r="FL132" s="1"/>
      <c r="FM132" s="1"/>
      <c r="FN132" s="1">
        <v>318563</v>
      </c>
      <c r="FO132" s="1">
        <v>273735</v>
      </c>
      <c r="FP132" s="1">
        <v>69767</v>
      </c>
      <c r="FQ132" s="1">
        <v>100592</v>
      </c>
      <c r="FR132" s="1">
        <v>522676</v>
      </c>
      <c r="FS132" s="1">
        <v>816051</v>
      </c>
      <c r="FT132" s="1"/>
      <c r="FU132" s="1"/>
      <c r="FV132" s="1"/>
      <c r="FW132" s="1"/>
      <c r="FX132" s="1"/>
      <c r="FY132" s="1"/>
      <c r="FZ132" s="1">
        <v>37418</v>
      </c>
      <c r="GA132" s="1">
        <v>20305</v>
      </c>
      <c r="GB132" s="1">
        <v>14798184</v>
      </c>
      <c r="GC132" s="1">
        <v>14537451</v>
      </c>
      <c r="GD132" s="1">
        <v>44841383</v>
      </c>
      <c r="GE132" s="1">
        <v>47567954</v>
      </c>
    </row>
    <row r="133" spans="1:188" s="3" customFormat="1" x14ac:dyDescent="0.25">
      <c r="A133" s="1">
        <v>20006</v>
      </c>
      <c r="B133" s="1">
        <v>0</v>
      </c>
      <c r="C133" s="3">
        <v>201429036</v>
      </c>
      <c r="D133" s="3" t="s">
        <v>148</v>
      </c>
      <c r="E133" s="4">
        <v>6</v>
      </c>
      <c r="F133" s="4">
        <v>1</v>
      </c>
      <c r="G133" s="4">
        <v>0</v>
      </c>
      <c r="H133" s="4">
        <v>1</v>
      </c>
      <c r="I133" s="1">
        <v>2018</v>
      </c>
      <c r="J133" s="1">
        <v>4</v>
      </c>
      <c r="K133" s="3" t="s">
        <v>0</v>
      </c>
      <c r="L133" s="1">
        <v>1</v>
      </c>
      <c r="M133" s="1">
        <v>30</v>
      </c>
      <c r="N133" s="5">
        <v>0</v>
      </c>
      <c r="O133" s="6">
        <v>43507.626851851855</v>
      </c>
      <c r="P133" s="1">
        <v>22337479</v>
      </c>
      <c r="Q133" s="1">
        <v>24747925</v>
      </c>
      <c r="R133" s="1">
        <v>8641856</v>
      </c>
      <c r="S133" s="1">
        <v>11205516</v>
      </c>
      <c r="T133" s="1">
        <v>13695623</v>
      </c>
      <c r="U133" s="1">
        <v>13542409</v>
      </c>
      <c r="V133" s="1">
        <v>4455</v>
      </c>
      <c r="W133" s="1">
        <v>0</v>
      </c>
      <c r="X133" s="1">
        <v>371</v>
      </c>
      <c r="Y133" s="1">
        <v>0</v>
      </c>
      <c r="Z133" s="1">
        <v>4084</v>
      </c>
      <c r="AA133" s="1">
        <v>0</v>
      </c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>
        <v>181401</v>
      </c>
      <c r="AO133" s="1">
        <v>676919</v>
      </c>
      <c r="AP133" s="1">
        <v>6627</v>
      </c>
      <c r="AQ133" s="1"/>
      <c r="AR133" s="1"/>
      <c r="AS133" s="1"/>
      <c r="AT133" s="1"/>
      <c r="AU133" s="1"/>
      <c r="AV133" s="2">
        <v>13887735</v>
      </c>
      <c r="AW133" s="1">
        <v>14219328</v>
      </c>
      <c r="AX133" s="1">
        <v>6632502</v>
      </c>
      <c r="AY133" s="1">
        <v>15726970</v>
      </c>
      <c r="AZ133" s="1">
        <v>3394676</v>
      </c>
      <c r="BA133" s="1">
        <v>5819364</v>
      </c>
      <c r="BB133" s="1">
        <v>55910</v>
      </c>
      <c r="BC133" s="1">
        <v>230793</v>
      </c>
      <c r="BD133" s="1">
        <v>3181916</v>
      </c>
      <c r="BE133" s="1">
        <v>9676813</v>
      </c>
      <c r="BF133" s="1"/>
      <c r="BG133" s="1"/>
      <c r="BH133" s="1">
        <v>3482</v>
      </c>
      <c r="BI133" s="1">
        <v>5251</v>
      </c>
      <c r="BJ133" s="1"/>
      <c r="BK133" s="1"/>
      <c r="BL133" s="1">
        <v>19115418</v>
      </c>
      <c r="BM133" s="1">
        <v>12301135</v>
      </c>
      <c r="BN133" s="1"/>
      <c r="BO133" s="1"/>
      <c r="BP133" s="1">
        <v>78404</v>
      </c>
      <c r="BQ133" s="1">
        <v>1034543</v>
      </c>
      <c r="BR133" s="1">
        <v>2470</v>
      </c>
      <c r="BS133" s="1">
        <v>2715850</v>
      </c>
      <c r="BT133" s="1">
        <v>18530783</v>
      </c>
      <c r="BU133" s="1">
        <v>7741068</v>
      </c>
      <c r="BV133" s="1"/>
      <c r="BW133" s="1"/>
      <c r="BX133" s="1">
        <v>490363</v>
      </c>
      <c r="BY133" s="1">
        <v>3442504</v>
      </c>
      <c r="BZ133" s="1">
        <v>467</v>
      </c>
      <c r="CA133" s="1">
        <v>1513</v>
      </c>
      <c r="CB133" s="1"/>
      <c r="CC133" s="1"/>
      <c r="CD133" s="1"/>
      <c r="CE133" s="1"/>
      <c r="CF133" s="1"/>
      <c r="CG133" s="1"/>
      <c r="CH133" s="1">
        <v>15401</v>
      </c>
      <c r="CI133" s="1">
        <v>81507</v>
      </c>
      <c r="CJ133" s="1">
        <v>12102</v>
      </c>
      <c r="CK133" s="1">
        <v>681134</v>
      </c>
      <c r="CL133" s="1"/>
      <c r="CM133" s="1"/>
      <c r="CN133" s="1">
        <v>12102</v>
      </c>
      <c r="CO133" s="1">
        <v>674334</v>
      </c>
      <c r="CP133" s="1"/>
      <c r="CQ133" s="1"/>
      <c r="CR133" s="1"/>
      <c r="CS133" s="1">
        <v>6800</v>
      </c>
      <c r="CT133" s="1">
        <v>14640</v>
      </c>
      <c r="CU133" s="1">
        <v>1059689</v>
      </c>
      <c r="CV133" s="1"/>
      <c r="CW133" s="1"/>
      <c r="CX133" s="2">
        <v>25778144</v>
      </c>
      <c r="CY133" s="1">
        <v>29774179</v>
      </c>
      <c r="CZ133" s="1">
        <v>39665879</v>
      </c>
      <c r="DA133" s="1">
        <v>43993507</v>
      </c>
      <c r="DB133" s="1">
        <v>2361888</v>
      </c>
      <c r="DC133" s="1">
        <v>2361888</v>
      </c>
      <c r="DD133" s="1"/>
      <c r="DE133" s="1"/>
      <c r="DF133" s="1">
        <v>5789818</v>
      </c>
      <c r="DG133" s="1">
        <v>5789818</v>
      </c>
      <c r="DH133" s="1"/>
      <c r="DI133" s="1"/>
      <c r="DJ133" s="1">
        <v>10038649</v>
      </c>
      <c r="DK133" s="1">
        <v>16206734</v>
      </c>
      <c r="DL133" s="24">
        <v>6175653</v>
      </c>
      <c r="DM133" s="24">
        <v>4836883</v>
      </c>
      <c r="DN133" s="1"/>
      <c r="DO133" s="1"/>
      <c r="DP133" s="2">
        <v>24366008</v>
      </c>
      <c r="DQ133" s="1">
        <v>29195323</v>
      </c>
      <c r="DR133" s="2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2">
        <v>15299871</v>
      </c>
      <c r="EQ133" s="1">
        <v>14798184</v>
      </c>
      <c r="ER133" s="1">
        <v>15295391</v>
      </c>
      <c r="ES133" s="1">
        <v>14798184</v>
      </c>
      <c r="ET133" s="1"/>
      <c r="EU133" s="1"/>
      <c r="EV133" s="1">
        <v>10641585</v>
      </c>
      <c r="EW133" s="1">
        <v>11026427</v>
      </c>
      <c r="EX133" s="1">
        <v>568958</v>
      </c>
      <c r="EY133" s="1"/>
      <c r="EZ133" s="1">
        <v>1140025</v>
      </c>
      <c r="FA133" s="1">
        <v>1071816</v>
      </c>
      <c r="FB133" s="1"/>
      <c r="FC133" s="1"/>
      <c r="FD133" s="1"/>
      <c r="FE133" s="1"/>
      <c r="FF133" s="1"/>
      <c r="FG133" s="1"/>
      <c r="FH133" s="1">
        <v>2684</v>
      </c>
      <c r="FI133" s="1">
        <v>1577360</v>
      </c>
      <c r="FJ133" s="1">
        <v>1969838</v>
      </c>
      <c r="FK133" s="1">
        <v>174157</v>
      </c>
      <c r="FL133" s="1"/>
      <c r="FM133" s="1"/>
      <c r="FN133" s="1">
        <v>946212</v>
      </c>
      <c r="FO133" s="1">
        <v>318563</v>
      </c>
      <c r="FP133" s="1">
        <v>130561</v>
      </c>
      <c r="FQ133" s="1">
        <v>69767</v>
      </c>
      <c r="FR133" s="1">
        <v>431824</v>
      </c>
      <c r="FS133" s="1">
        <v>522676</v>
      </c>
      <c r="FT133" s="1"/>
      <c r="FU133" s="1"/>
      <c r="FV133" s="1">
        <v>4480</v>
      </c>
      <c r="FW133" s="1"/>
      <c r="FX133" s="1"/>
      <c r="FY133" s="1"/>
      <c r="FZ133" s="1">
        <v>32662</v>
      </c>
      <c r="GA133" s="1">
        <v>37418</v>
      </c>
      <c r="GB133" s="1">
        <v>15299871</v>
      </c>
      <c r="GC133" s="1">
        <v>14798184</v>
      </c>
      <c r="GD133" s="1">
        <v>39665879</v>
      </c>
      <c r="GE133" s="1">
        <v>43993507</v>
      </c>
      <c r="GF133" s="14">
        <f t="shared" ref="GF133" si="1">GE133-DA133</f>
        <v>0</v>
      </c>
    </row>
    <row r="134" spans="1:188" s="3" customFormat="1" ht="12" x14ac:dyDescent="0.2">
      <c r="A134" s="1">
        <v>20006</v>
      </c>
      <c r="B134" s="1">
        <v>0</v>
      </c>
      <c r="C134" s="1">
        <v>201535024</v>
      </c>
      <c r="D134" s="1" t="s">
        <v>149</v>
      </c>
      <c r="E134" s="1">
        <v>26</v>
      </c>
      <c r="F134" s="1">
        <v>1</v>
      </c>
      <c r="G134" s="1">
        <v>0</v>
      </c>
      <c r="H134" s="1">
        <v>1</v>
      </c>
      <c r="I134" s="1">
        <v>2021</v>
      </c>
      <c r="J134" s="1">
        <v>4</v>
      </c>
      <c r="K134" s="1" t="s">
        <v>0</v>
      </c>
      <c r="L134" s="1">
        <v>1</v>
      </c>
      <c r="M134" s="1">
        <v>30</v>
      </c>
      <c r="N134" s="1">
        <v>0</v>
      </c>
      <c r="O134" s="1">
        <v>44645.971921296295</v>
      </c>
      <c r="P134" s="1">
        <v>6073242.3600000003</v>
      </c>
      <c r="Q134" s="1">
        <v>6088905.79</v>
      </c>
      <c r="R134" s="1">
        <v>5198595.76</v>
      </c>
      <c r="S134" s="1">
        <v>5399797.7300000004</v>
      </c>
      <c r="T134" s="1">
        <v>874646.6</v>
      </c>
      <c r="U134" s="1">
        <v>689108.06</v>
      </c>
      <c r="V134" s="1">
        <v>5170.3100000000004</v>
      </c>
      <c r="W134" s="1">
        <v>28051.88</v>
      </c>
      <c r="X134" s="1">
        <v>3968.75</v>
      </c>
      <c r="Y134" s="1">
        <v>7916.36</v>
      </c>
      <c r="Z134" s="1">
        <v>1201.56</v>
      </c>
      <c r="AA134" s="1">
        <v>20135.52</v>
      </c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2">
        <v>875848.16</v>
      </c>
      <c r="AW134" s="1">
        <v>709243.58</v>
      </c>
      <c r="AX134" s="1">
        <v>1599596.19</v>
      </c>
      <c r="AY134" s="1">
        <v>1555250.25</v>
      </c>
      <c r="AZ134" s="1">
        <v>1597773.5</v>
      </c>
      <c r="BA134" s="1">
        <v>1553427.56</v>
      </c>
      <c r="BB134" s="1"/>
      <c r="BC134" s="1"/>
      <c r="BD134" s="1"/>
      <c r="BE134" s="1"/>
      <c r="BF134" s="1">
        <v>1822.69</v>
      </c>
      <c r="BG134" s="1">
        <v>1822.69</v>
      </c>
      <c r="BH134" s="1">
        <v>8343.6</v>
      </c>
      <c r="BI134" s="1">
        <v>26994.51</v>
      </c>
      <c r="BJ134" s="1"/>
      <c r="BK134" s="1"/>
      <c r="BL134" s="1">
        <v>583653.97</v>
      </c>
      <c r="BM134" s="1">
        <v>132709.79</v>
      </c>
      <c r="BN134" s="1"/>
      <c r="BO134" s="1"/>
      <c r="BP134" s="1">
        <v>553701.31999999995</v>
      </c>
      <c r="BQ134" s="1">
        <v>122134.78</v>
      </c>
      <c r="BR134" s="1"/>
      <c r="BS134" s="1"/>
      <c r="BT134" s="1"/>
      <c r="BU134" s="1"/>
      <c r="BV134" s="1"/>
      <c r="BW134" s="1"/>
      <c r="BX134" s="1">
        <v>25027.3</v>
      </c>
      <c r="BY134" s="1">
        <v>8895.89</v>
      </c>
      <c r="BZ134" s="1"/>
      <c r="CA134" s="1"/>
      <c r="CB134" s="1">
        <v>798.35</v>
      </c>
      <c r="CC134" s="1">
        <v>1679.12</v>
      </c>
      <c r="CD134" s="1"/>
      <c r="CE134" s="1"/>
      <c r="CF134" s="1">
        <v>4127</v>
      </c>
      <c r="CG134" s="1">
        <v>0</v>
      </c>
      <c r="CH134" s="1"/>
      <c r="CI134" s="1"/>
      <c r="CJ134" s="1">
        <v>946039</v>
      </c>
      <c r="CK134" s="1">
        <v>1411078.95</v>
      </c>
      <c r="CL134" s="1">
        <v>4424.3</v>
      </c>
      <c r="CM134" s="1">
        <v>767.7</v>
      </c>
      <c r="CN134" s="1">
        <v>116564.83</v>
      </c>
      <c r="CO134" s="1">
        <v>479790.57</v>
      </c>
      <c r="CP134" s="1">
        <v>823019.97</v>
      </c>
      <c r="CQ134" s="1">
        <v>929359.66</v>
      </c>
      <c r="CR134" s="1">
        <v>2029.9</v>
      </c>
      <c r="CS134" s="1">
        <v>1161.02</v>
      </c>
      <c r="CT134" s="1">
        <v>25857.55</v>
      </c>
      <c r="CU134" s="1"/>
      <c r="CV134" s="1"/>
      <c r="CW134" s="1"/>
      <c r="CX134" s="2">
        <v>3163490.31</v>
      </c>
      <c r="CY134" s="1">
        <v>3126033.5</v>
      </c>
      <c r="CZ134" s="1">
        <v>4039338.47</v>
      </c>
      <c r="DA134" s="1">
        <v>3835277.08</v>
      </c>
      <c r="DB134" s="1">
        <v>3752890</v>
      </c>
      <c r="DC134" s="1">
        <v>3752890</v>
      </c>
      <c r="DD134" s="1">
        <v>19277.5</v>
      </c>
      <c r="DE134" s="1">
        <v>19277.5</v>
      </c>
      <c r="DF134" s="1">
        <v>328650.5</v>
      </c>
      <c r="DG134" s="1">
        <v>328650.5</v>
      </c>
      <c r="DH134" s="1"/>
      <c r="DI134" s="1"/>
      <c r="DJ134" s="1">
        <v>-231712.89</v>
      </c>
      <c r="DK134" s="1">
        <v>-401558.45</v>
      </c>
      <c r="DL134" s="24"/>
      <c r="DM134" s="24"/>
      <c r="DN134" s="1"/>
      <c r="DO134" s="1"/>
      <c r="DP134" s="2">
        <v>3869105.11</v>
      </c>
      <c r="DQ134" s="1">
        <v>3699259.55</v>
      </c>
      <c r="DR134" s="2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2">
        <v>170233.36</v>
      </c>
      <c r="EQ134" s="1">
        <v>136017.53</v>
      </c>
      <c r="ER134" s="1">
        <v>170233.36</v>
      </c>
      <c r="ES134" s="1">
        <v>136017.53</v>
      </c>
      <c r="ET134" s="1"/>
      <c r="EU134" s="1"/>
      <c r="EV134" s="1">
        <v>5778.24</v>
      </c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>
        <v>96404.92</v>
      </c>
      <c r="FI134" s="1"/>
      <c r="FJ134" s="1">
        <v>50184.24</v>
      </c>
      <c r="FK134" s="1">
        <v>52444.480000000003</v>
      </c>
      <c r="FL134" s="1"/>
      <c r="FM134" s="1">
        <v>6307.35</v>
      </c>
      <c r="FN134" s="1"/>
      <c r="FO134" s="1"/>
      <c r="FP134" s="1">
        <v>0.1</v>
      </c>
      <c r="FQ134" s="1"/>
      <c r="FR134" s="1">
        <v>17865.86</v>
      </c>
      <c r="FS134" s="1">
        <v>77265.7</v>
      </c>
      <c r="FT134" s="1"/>
      <c r="FU134" s="1"/>
      <c r="FV134" s="1"/>
      <c r="FW134" s="1"/>
      <c r="FX134" s="1"/>
      <c r="FY134" s="1"/>
      <c r="FZ134" s="1"/>
      <c r="GA134" s="1"/>
      <c r="GB134" s="1">
        <v>170233.36</v>
      </c>
      <c r="GC134" s="1">
        <v>136017.53</v>
      </c>
      <c r="GD134" s="1">
        <v>4039338.47</v>
      </c>
      <c r="GE134" s="1">
        <v>3835277.08</v>
      </c>
    </row>
    <row r="135" spans="1:188" s="3" customFormat="1" ht="12" x14ac:dyDescent="0.2">
      <c r="A135" s="1">
        <v>20006</v>
      </c>
      <c r="B135" s="1">
        <v>0</v>
      </c>
      <c r="C135" s="1">
        <v>201535024</v>
      </c>
      <c r="D135" s="1" t="s">
        <v>149</v>
      </c>
      <c r="E135" s="1">
        <v>26</v>
      </c>
      <c r="F135" s="1">
        <v>1</v>
      </c>
      <c r="G135" s="1">
        <v>0</v>
      </c>
      <c r="H135" s="1">
        <v>1</v>
      </c>
      <c r="I135" s="1">
        <v>2020</v>
      </c>
      <c r="J135" s="1">
        <v>4</v>
      </c>
      <c r="K135" s="1" t="s">
        <v>0</v>
      </c>
      <c r="L135" s="1">
        <v>2</v>
      </c>
      <c r="M135" s="1">
        <v>30</v>
      </c>
      <c r="N135" s="1">
        <v>0</v>
      </c>
      <c r="O135" s="1">
        <v>44364.878819444442</v>
      </c>
      <c r="P135" s="1">
        <v>5790600.6600000001</v>
      </c>
      <c r="Q135" s="1">
        <v>6073242.3600000003</v>
      </c>
      <c r="R135" s="1">
        <v>5003304.76</v>
      </c>
      <c r="S135" s="1">
        <v>5198595.76</v>
      </c>
      <c r="T135" s="1">
        <v>787295.9</v>
      </c>
      <c r="U135" s="1">
        <v>874646.6</v>
      </c>
      <c r="V135" s="1">
        <v>5170.3100000000004</v>
      </c>
      <c r="W135" s="1">
        <v>5170.3100000000004</v>
      </c>
      <c r="X135" s="1">
        <v>3587.11</v>
      </c>
      <c r="Y135" s="1">
        <v>3968.75</v>
      </c>
      <c r="Z135" s="1">
        <v>1583.2</v>
      </c>
      <c r="AA135" s="1">
        <v>1201.56</v>
      </c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>
        <v>30695.599999999999</v>
      </c>
      <c r="AQ135" s="1">
        <v>0</v>
      </c>
      <c r="AR135" s="1"/>
      <c r="AS135" s="1"/>
      <c r="AT135" s="1"/>
      <c r="AU135" s="1"/>
      <c r="AV135" s="2">
        <v>819574.7</v>
      </c>
      <c r="AW135" s="1">
        <v>875848.16</v>
      </c>
      <c r="AX135" s="1">
        <v>1829076.58</v>
      </c>
      <c r="AY135" s="1">
        <v>1599596.19</v>
      </c>
      <c r="AZ135" s="1">
        <v>1827253.9</v>
      </c>
      <c r="BA135" s="1">
        <v>1597773.5</v>
      </c>
      <c r="BB135" s="1"/>
      <c r="BC135" s="1">
        <v>0</v>
      </c>
      <c r="BD135" s="1"/>
      <c r="BE135" s="1"/>
      <c r="BF135" s="1">
        <v>1822.68</v>
      </c>
      <c r="BG135" s="1">
        <v>1822.69</v>
      </c>
      <c r="BH135" s="1">
        <v>6084</v>
      </c>
      <c r="BI135" s="1">
        <v>8343.6</v>
      </c>
      <c r="BJ135" s="1"/>
      <c r="BK135" s="1"/>
      <c r="BL135" s="1">
        <v>22520.19</v>
      </c>
      <c r="BM135" s="1">
        <v>583653.97</v>
      </c>
      <c r="BN135" s="1"/>
      <c r="BO135" s="1"/>
      <c r="BP135" s="1"/>
      <c r="BQ135" s="1">
        <v>553701.31999999995</v>
      </c>
      <c r="BR135" s="1"/>
      <c r="BS135" s="1"/>
      <c r="BT135" s="1"/>
      <c r="BU135" s="1"/>
      <c r="BV135" s="1"/>
      <c r="BW135" s="1"/>
      <c r="BX135" s="1">
        <v>20255.7</v>
      </c>
      <c r="BY135" s="1">
        <v>25027.3</v>
      </c>
      <c r="BZ135" s="1">
        <v>99.9</v>
      </c>
      <c r="CA135" s="1"/>
      <c r="CB135" s="1">
        <v>1436.99</v>
      </c>
      <c r="CC135" s="1">
        <v>798.35</v>
      </c>
      <c r="CD135" s="1"/>
      <c r="CE135" s="1"/>
      <c r="CF135" s="1"/>
      <c r="CG135" s="1">
        <v>4127</v>
      </c>
      <c r="CH135" s="1">
        <v>727.6</v>
      </c>
      <c r="CI135" s="1">
        <v>0</v>
      </c>
      <c r="CJ135" s="1">
        <v>1323718.3</v>
      </c>
      <c r="CK135" s="1">
        <v>946039</v>
      </c>
      <c r="CL135" s="1">
        <v>513.9</v>
      </c>
      <c r="CM135" s="1">
        <v>4424.3</v>
      </c>
      <c r="CN135" s="1">
        <v>586613</v>
      </c>
      <c r="CO135" s="1">
        <v>116564.83</v>
      </c>
      <c r="CP135" s="1">
        <v>735169.5</v>
      </c>
      <c r="CQ135" s="1">
        <v>823019.97</v>
      </c>
      <c r="CR135" s="1">
        <v>1421.9</v>
      </c>
      <c r="CS135" s="1">
        <v>2029.9</v>
      </c>
      <c r="CT135" s="1">
        <v>50000</v>
      </c>
      <c r="CU135" s="1">
        <v>25857.55</v>
      </c>
      <c r="CV135" s="1"/>
      <c r="CW135" s="1"/>
      <c r="CX135" s="2">
        <v>3231399.07</v>
      </c>
      <c r="CY135" s="1">
        <v>3163490.31</v>
      </c>
      <c r="CZ135" s="1">
        <v>4050973.77</v>
      </c>
      <c r="DA135" s="1">
        <v>4039338.47</v>
      </c>
      <c r="DB135" s="1">
        <v>3752890</v>
      </c>
      <c r="DC135" s="1">
        <v>3752890</v>
      </c>
      <c r="DD135" s="1">
        <v>19277.5</v>
      </c>
      <c r="DE135" s="1">
        <v>19277.5</v>
      </c>
      <c r="DF135" s="1">
        <v>328650.5</v>
      </c>
      <c r="DG135" s="1">
        <v>328650.5</v>
      </c>
      <c r="DH135" s="1"/>
      <c r="DI135" s="1"/>
      <c r="DJ135" s="1">
        <v>-256857.60000000001</v>
      </c>
      <c r="DK135" s="1">
        <v>-231712.89</v>
      </c>
      <c r="DL135" s="24"/>
      <c r="DM135" s="24"/>
      <c r="DN135" s="1"/>
      <c r="DO135" s="1"/>
      <c r="DP135" s="2">
        <v>3843960.4</v>
      </c>
      <c r="DQ135" s="1">
        <v>3869105.11</v>
      </c>
      <c r="DR135" s="2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2">
        <v>207013.37</v>
      </c>
      <c r="EQ135" s="1">
        <v>170233.36</v>
      </c>
      <c r="ER135" s="1">
        <v>207013.37</v>
      </c>
      <c r="ES135" s="1">
        <v>170233.36</v>
      </c>
      <c r="ET135" s="1"/>
      <c r="EU135" s="1"/>
      <c r="EV135" s="1"/>
      <c r="EW135" s="1">
        <v>5778.24</v>
      </c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>
        <v>199365.9</v>
      </c>
      <c r="FI135" s="1">
        <v>96404.92</v>
      </c>
      <c r="FJ135" s="1">
        <v>2554.1999999999998</v>
      </c>
      <c r="FK135" s="1">
        <v>50184.24</v>
      </c>
      <c r="FL135" s="1"/>
      <c r="FM135" s="1"/>
      <c r="FN135" s="1"/>
      <c r="FO135" s="1"/>
      <c r="FP135" s="1">
        <v>0.1</v>
      </c>
      <c r="FQ135" s="1">
        <v>0.1</v>
      </c>
      <c r="FR135" s="1">
        <v>5093.17</v>
      </c>
      <c r="FS135" s="1">
        <v>17865.86</v>
      </c>
      <c r="FT135" s="1"/>
      <c r="FU135" s="1"/>
      <c r="FV135" s="1"/>
      <c r="FW135" s="1"/>
      <c r="FX135" s="1"/>
      <c r="FY135" s="1"/>
      <c r="FZ135" s="1"/>
      <c r="GA135" s="1"/>
      <c r="GB135" s="1">
        <v>207013.37</v>
      </c>
      <c r="GC135" s="1">
        <v>170233.36</v>
      </c>
      <c r="GD135" s="1">
        <v>4050973.77</v>
      </c>
      <c r="GE135" s="1">
        <v>4039338.47</v>
      </c>
    </row>
    <row r="136" spans="1:188" s="3" customFormat="1" ht="12" x14ac:dyDescent="0.2">
      <c r="A136" s="1">
        <v>20006</v>
      </c>
      <c r="B136" s="1">
        <v>0</v>
      </c>
      <c r="C136" s="1">
        <v>201535024</v>
      </c>
      <c r="D136" s="1" t="s">
        <v>149</v>
      </c>
      <c r="E136" s="1">
        <v>26</v>
      </c>
      <c r="F136" s="1">
        <v>1</v>
      </c>
      <c r="G136" s="1">
        <v>0</v>
      </c>
      <c r="H136" s="1">
        <v>1</v>
      </c>
      <c r="I136" s="1">
        <v>2019</v>
      </c>
      <c r="J136" s="1">
        <v>4</v>
      </c>
      <c r="K136" s="1" t="s">
        <v>0</v>
      </c>
      <c r="L136" s="1">
        <v>1</v>
      </c>
      <c r="M136" s="1">
        <v>30</v>
      </c>
      <c r="N136" s="1">
        <v>0</v>
      </c>
      <c r="O136" s="1">
        <v>43915.960995370369</v>
      </c>
      <c r="P136" s="1">
        <v>5759452.9299999997</v>
      </c>
      <c r="Q136" s="1">
        <v>5790600.6600000001</v>
      </c>
      <c r="R136" s="1">
        <v>4775783.08</v>
      </c>
      <c r="S136" s="1">
        <v>5003304.76</v>
      </c>
      <c r="T136" s="1">
        <v>983669.85</v>
      </c>
      <c r="U136" s="1">
        <v>787295.9</v>
      </c>
      <c r="V136" s="1">
        <v>5170.3100000000004</v>
      </c>
      <c r="W136" s="1">
        <v>5170.3100000000004</v>
      </c>
      <c r="X136" s="1">
        <v>2957.35</v>
      </c>
      <c r="Y136" s="1">
        <v>3587.11</v>
      </c>
      <c r="Z136" s="1">
        <v>2212.96</v>
      </c>
      <c r="AA136" s="1">
        <v>1583.2</v>
      </c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>
        <v>30695.599999999999</v>
      </c>
      <c r="AR136" s="1"/>
      <c r="AS136" s="1"/>
      <c r="AT136" s="1"/>
      <c r="AU136" s="1"/>
      <c r="AV136" s="2">
        <v>985882.81</v>
      </c>
      <c r="AW136" s="1">
        <v>819574.7</v>
      </c>
      <c r="AX136" s="1">
        <v>1810130.87</v>
      </c>
      <c r="AY136" s="1">
        <v>1829076.58</v>
      </c>
      <c r="AZ136" s="1">
        <v>1808308.19</v>
      </c>
      <c r="BA136" s="1">
        <v>1827253.9</v>
      </c>
      <c r="BB136" s="1"/>
      <c r="BC136" s="1"/>
      <c r="BD136" s="1"/>
      <c r="BE136" s="1"/>
      <c r="BF136" s="1">
        <v>1822.68</v>
      </c>
      <c r="BG136" s="1">
        <v>1822.68</v>
      </c>
      <c r="BH136" s="1">
        <v>10090.450000000001</v>
      </c>
      <c r="BI136" s="1">
        <v>6084</v>
      </c>
      <c r="BJ136" s="1"/>
      <c r="BK136" s="1"/>
      <c r="BL136" s="1">
        <v>169271.09</v>
      </c>
      <c r="BM136" s="1">
        <v>22520.19</v>
      </c>
      <c r="BN136" s="1"/>
      <c r="BO136" s="1"/>
      <c r="BP136" s="1">
        <v>21010.400000000001</v>
      </c>
      <c r="BQ136" s="1"/>
      <c r="BR136" s="1"/>
      <c r="BS136" s="1"/>
      <c r="BT136" s="1"/>
      <c r="BU136" s="1"/>
      <c r="BV136" s="1"/>
      <c r="BW136" s="1"/>
      <c r="BX136" s="1">
        <v>146723.79999999999</v>
      </c>
      <c r="BY136" s="1">
        <v>20255.7</v>
      </c>
      <c r="BZ136" s="1">
        <v>99.9</v>
      </c>
      <c r="CA136" s="1">
        <v>99.9</v>
      </c>
      <c r="CB136" s="1">
        <v>1436.99</v>
      </c>
      <c r="CC136" s="1">
        <v>1436.99</v>
      </c>
      <c r="CD136" s="1"/>
      <c r="CE136" s="1"/>
      <c r="CF136" s="1"/>
      <c r="CG136" s="1"/>
      <c r="CH136" s="1"/>
      <c r="CI136" s="1">
        <v>727.6</v>
      </c>
      <c r="CJ136" s="1">
        <v>1655146.52</v>
      </c>
      <c r="CK136" s="1">
        <v>1323718.3</v>
      </c>
      <c r="CL136" s="1">
        <v>706.98</v>
      </c>
      <c r="CM136" s="1">
        <v>513.9</v>
      </c>
      <c r="CN136" s="1">
        <v>987481.72</v>
      </c>
      <c r="CO136" s="1">
        <v>586613</v>
      </c>
      <c r="CP136" s="1">
        <v>663557.84</v>
      </c>
      <c r="CQ136" s="1">
        <v>735169.5</v>
      </c>
      <c r="CR136" s="1">
        <v>3399.98</v>
      </c>
      <c r="CS136" s="1">
        <v>1421.9</v>
      </c>
      <c r="CT136" s="1"/>
      <c r="CU136" s="1">
        <v>50000</v>
      </c>
      <c r="CV136" s="1"/>
      <c r="CW136" s="1"/>
      <c r="CX136" s="2">
        <v>3644638.93</v>
      </c>
      <c r="CY136" s="1">
        <v>3231399.07</v>
      </c>
      <c r="CZ136" s="1">
        <v>4630521.74</v>
      </c>
      <c r="DA136" s="1">
        <v>4050973.77</v>
      </c>
      <c r="DB136" s="1">
        <v>3752890</v>
      </c>
      <c r="DC136" s="1">
        <v>3752890</v>
      </c>
      <c r="DD136" s="1">
        <v>19277.5</v>
      </c>
      <c r="DE136" s="1">
        <v>19277.5</v>
      </c>
      <c r="DF136" s="1">
        <v>315967.18</v>
      </c>
      <c r="DG136" s="1">
        <v>328650.5</v>
      </c>
      <c r="DH136" s="1"/>
      <c r="DI136" s="1"/>
      <c r="DJ136" s="1">
        <v>434792.94</v>
      </c>
      <c r="DK136" s="1">
        <v>-256857.60000000001</v>
      </c>
      <c r="DL136" s="24"/>
      <c r="DM136" s="24"/>
      <c r="DN136" s="1"/>
      <c r="DO136" s="1"/>
      <c r="DP136" s="2">
        <v>4522927.62</v>
      </c>
      <c r="DQ136" s="1">
        <v>3843960.4</v>
      </c>
      <c r="DR136" s="2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2">
        <v>107594.12</v>
      </c>
      <c r="EQ136" s="1">
        <v>207013.37</v>
      </c>
      <c r="ER136" s="1">
        <v>107594.12</v>
      </c>
      <c r="ES136" s="1">
        <v>207013.37</v>
      </c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>
        <v>199365.9</v>
      </c>
      <c r="FJ136" s="1">
        <v>55195.49</v>
      </c>
      <c r="FK136" s="1">
        <v>2554.1999999999998</v>
      </c>
      <c r="FL136" s="1"/>
      <c r="FM136" s="1"/>
      <c r="FN136" s="1"/>
      <c r="FO136" s="1"/>
      <c r="FP136" s="1">
        <v>22449.42</v>
      </c>
      <c r="FQ136" s="1">
        <v>0.1</v>
      </c>
      <c r="FR136" s="1">
        <v>29949.21</v>
      </c>
      <c r="FS136" s="1">
        <v>5093.17</v>
      </c>
      <c r="FT136" s="1"/>
      <c r="FU136" s="1"/>
      <c r="FV136" s="1"/>
      <c r="FW136" s="1"/>
      <c r="FX136" s="1"/>
      <c r="FY136" s="1"/>
      <c r="FZ136" s="1"/>
      <c r="GA136" s="1"/>
      <c r="GB136" s="1">
        <v>107594.12</v>
      </c>
      <c r="GC136" s="1">
        <v>207013.37</v>
      </c>
      <c r="GD136" s="1">
        <v>4630521.74</v>
      </c>
      <c r="GE136" s="1">
        <v>4050973.77</v>
      </c>
    </row>
    <row r="137" spans="1:188" s="3" customFormat="1" x14ac:dyDescent="0.25">
      <c r="A137" s="1">
        <v>20006</v>
      </c>
      <c r="B137" s="1">
        <v>0</v>
      </c>
      <c r="C137" s="3">
        <v>201535024</v>
      </c>
      <c r="D137" s="3" t="s">
        <v>149</v>
      </c>
      <c r="E137" s="4">
        <v>26</v>
      </c>
      <c r="F137" s="4">
        <v>1</v>
      </c>
      <c r="G137" s="4">
        <v>0</v>
      </c>
      <c r="H137" s="4">
        <v>1</v>
      </c>
      <c r="I137" s="1">
        <v>2018</v>
      </c>
      <c r="J137" s="1">
        <v>4</v>
      </c>
      <c r="K137" s="3" t="s">
        <v>0</v>
      </c>
      <c r="L137" s="1">
        <v>1</v>
      </c>
      <c r="M137" s="1">
        <v>30</v>
      </c>
      <c r="N137" s="5">
        <v>0</v>
      </c>
      <c r="O137" s="6">
        <v>43549.472997685189</v>
      </c>
      <c r="P137" s="1">
        <v>5865145.6299999999</v>
      </c>
      <c r="Q137" s="1">
        <v>5759452.9299999997</v>
      </c>
      <c r="R137" s="1">
        <v>4617836.47</v>
      </c>
      <c r="S137" s="1">
        <v>4775783.08</v>
      </c>
      <c r="T137" s="1">
        <v>1247309.1599999999</v>
      </c>
      <c r="U137" s="1">
        <v>983669.85</v>
      </c>
      <c r="V137" s="1">
        <v>42260.3</v>
      </c>
      <c r="W137" s="1">
        <v>5170.3100000000004</v>
      </c>
      <c r="X137" s="1">
        <v>39354.32</v>
      </c>
      <c r="Y137" s="1">
        <v>2957.35</v>
      </c>
      <c r="Z137" s="1">
        <v>2905.98</v>
      </c>
      <c r="AA137" s="1">
        <v>2212.96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2">
        <v>1250215.1399999999</v>
      </c>
      <c r="AW137" s="1">
        <v>985882.81</v>
      </c>
      <c r="AX137" s="1">
        <v>1901965.62</v>
      </c>
      <c r="AY137" s="1">
        <v>1810130.87</v>
      </c>
      <c r="AZ137" s="1">
        <v>1900142.94</v>
      </c>
      <c r="BA137" s="1">
        <v>1808308.19</v>
      </c>
      <c r="BB137" s="1">
        <v>0</v>
      </c>
      <c r="BC137" s="1">
        <v>0</v>
      </c>
      <c r="BD137" s="1">
        <v>0</v>
      </c>
      <c r="BE137" s="1">
        <v>0</v>
      </c>
      <c r="BF137" s="1">
        <v>1822.68</v>
      </c>
      <c r="BG137" s="1">
        <v>1822.68</v>
      </c>
      <c r="BH137" s="1">
        <v>9662.82</v>
      </c>
      <c r="BI137" s="1">
        <v>10090.450000000001</v>
      </c>
      <c r="BJ137" s="1">
        <v>0</v>
      </c>
      <c r="BK137" s="1">
        <v>0</v>
      </c>
      <c r="BL137" s="1">
        <v>15445.12</v>
      </c>
      <c r="BM137" s="1">
        <v>169271.09</v>
      </c>
      <c r="BN137" s="1">
        <v>0</v>
      </c>
      <c r="BO137" s="1">
        <v>0</v>
      </c>
      <c r="BP137" s="1">
        <v>0</v>
      </c>
      <c r="BQ137" s="1">
        <v>21010.400000000001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15023.09</v>
      </c>
      <c r="BY137" s="1">
        <v>146723.79999999999</v>
      </c>
      <c r="BZ137" s="1">
        <v>151.4</v>
      </c>
      <c r="CA137" s="1">
        <v>99.9</v>
      </c>
      <c r="CB137" s="1">
        <v>32.9</v>
      </c>
      <c r="CC137" s="1">
        <v>1436.99</v>
      </c>
      <c r="CD137" s="1">
        <v>0</v>
      </c>
      <c r="CE137" s="1">
        <v>0</v>
      </c>
      <c r="CF137" s="1">
        <v>237.73</v>
      </c>
      <c r="CG137" s="1">
        <v>0</v>
      </c>
      <c r="CH137" s="1">
        <v>0</v>
      </c>
      <c r="CI137" s="1">
        <v>0</v>
      </c>
      <c r="CJ137" s="1">
        <v>1628168.18</v>
      </c>
      <c r="CK137" s="1">
        <v>1655146.52</v>
      </c>
      <c r="CL137" s="1">
        <v>2178.8000000000002</v>
      </c>
      <c r="CM137" s="1">
        <v>706.98</v>
      </c>
      <c r="CN137" s="1">
        <v>887675.71</v>
      </c>
      <c r="CO137" s="1">
        <v>987481.72</v>
      </c>
      <c r="CP137" s="1">
        <v>733734.78</v>
      </c>
      <c r="CQ137" s="1">
        <v>663557.84</v>
      </c>
      <c r="CR137" s="1">
        <v>4578.8900000000003</v>
      </c>
      <c r="CS137" s="1">
        <v>3399.98</v>
      </c>
      <c r="CT137" s="1">
        <v>0</v>
      </c>
      <c r="CU137" s="1">
        <v>0</v>
      </c>
      <c r="CV137" s="1">
        <v>0</v>
      </c>
      <c r="CW137" s="1">
        <v>0</v>
      </c>
      <c r="CX137" s="2">
        <v>3555241.74</v>
      </c>
      <c r="CY137" s="1">
        <v>3644638.93</v>
      </c>
      <c r="CZ137" s="1">
        <v>4805456.88</v>
      </c>
      <c r="DA137" s="1">
        <v>4630521.74</v>
      </c>
      <c r="DB137" s="1">
        <v>3752890</v>
      </c>
      <c r="DC137" s="1">
        <v>3752890</v>
      </c>
      <c r="DD137" s="1">
        <v>19277.5</v>
      </c>
      <c r="DE137" s="1">
        <v>19277.5</v>
      </c>
      <c r="DF137" s="1">
        <v>311136.7</v>
      </c>
      <c r="DG137" s="1">
        <v>315967.18</v>
      </c>
      <c r="DH137" s="1">
        <v>0</v>
      </c>
      <c r="DI137" s="1">
        <v>0</v>
      </c>
      <c r="DJ137" s="1">
        <v>510633.9</v>
      </c>
      <c r="DK137" s="1">
        <v>434792.95</v>
      </c>
      <c r="DL137" s="24">
        <v>0</v>
      </c>
      <c r="DM137" s="24">
        <v>0</v>
      </c>
      <c r="DN137" s="1">
        <v>0</v>
      </c>
      <c r="DO137" s="1">
        <v>0</v>
      </c>
      <c r="DP137" s="2">
        <v>4593938.0999999996</v>
      </c>
      <c r="DQ137" s="1">
        <v>4522927.63</v>
      </c>
      <c r="DR137" s="2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2">
        <v>211518.78</v>
      </c>
      <c r="EQ137" s="1">
        <v>107594.11</v>
      </c>
      <c r="ER137" s="1">
        <v>211518.78</v>
      </c>
      <c r="ES137" s="1">
        <v>107594.11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32961.9</v>
      </c>
      <c r="FI137" s="1">
        <v>0</v>
      </c>
      <c r="FJ137" s="1">
        <v>78011.199999999997</v>
      </c>
      <c r="FK137" s="1">
        <v>55195.49</v>
      </c>
      <c r="FL137" s="1">
        <v>22460.98</v>
      </c>
      <c r="FM137" s="1">
        <v>0</v>
      </c>
      <c r="FN137" s="1">
        <v>0</v>
      </c>
      <c r="FO137" s="1">
        <v>0</v>
      </c>
      <c r="FP137" s="1">
        <v>0</v>
      </c>
      <c r="FQ137" s="1">
        <v>22449.42</v>
      </c>
      <c r="FR137" s="1">
        <v>78084.7</v>
      </c>
      <c r="FS137" s="1">
        <v>29949.200000000001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211518.78</v>
      </c>
      <c r="GC137" s="1">
        <v>107594.11</v>
      </c>
      <c r="GD137" s="1">
        <v>4805456.88</v>
      </c>
      <c r="GE137" s="1">
        <v>4630521.74</v>
      </c>
      <c r="GF137" s="14">
        <f t="shared" ref="GF137" si="2">GE137-DA137</f>
        <v>0</v>
      </c>
    </row>
    <row r="138" spans="1:188" s="3" customFormat="1" ht="12" x14ac:dyDescent="0.2">
      <c r="A138" s="1">
        <v>20006</v>
      </c>
      <c r="B138" s="1">
        <v>0</v>
      </c>
      <c r="C138" s="1">
        <v>201577264</v>
      </c>
      <c r="D138" s="1" t="s">
        <v>150</v>
      </c>
      <c r="E138" s="1">
        <v>12</v>
      </c>
      <c r="F138" s="1">
        <v>5</v>
      </c>
      <c r="G138" s="1">
        <v>0</v>
      </c>
      <c r="H138" s="1">
        <v>1</v>
      </c>
      <c r="I138" s="1">
        <v>2021</v>
      </c>
      <c r="J138" s="1">
        <v>4</v>
      </c>
      <c r="K138" s="1" t="s">
        <v>0</v>
      </c>
      <c r="L138" s="1">
        <v>1</v>
      </c>
      <c r="M138" s="1">
        <v>30</v>
      </c>
      <c r="N138" s="1">
        <v>0</v>
      </c>
      <c r="O138" s="1">
        <v>44606.675000000003</v>
      </c>
      <c r="P138" s="1">
        <v>13004701</v>
      </c>
      <c r="Q138" s="1">
        <v>13345527</v>
      </c>
      <c r="R138" s="1">
        <v>7079566</v>
      </c>
      <c r="S138" s="1">
        <v>7672423</v>
      </c>
      <c r="T138" s="1">
        <v>5925135</v>
      </c>
      <c r="U138" s="1">
        <v>5673104</v>
      </c>
      <c r="V138" s="1">
        <v>15830</v>
      </c>
      <c r="W138" s="1">
        <v>15830</v>
      </c>
      <c r="X138" s="1">
        <v>6200</v>
      </c>
      <c r="Y138" s="1">
        <v>9365</v>
      </c>
      <c r="Z138" s="1">
        <v>9630</v>
      </c>
      <c r="AA138" s="1">
        <v>6465</v>
      </c>
      <c r="AB138" s="1">
        <v>1045037</v>
      </c>
      <c r="AC138" s="1">
        <v>1045037</v>
      </c>
      <c r="AD138" s="1">
        <v>201424</v>
      </c>
      <c r="AE138" s="1">
        <v>201424</v>
      </c>
      <c r="AF138" s="1">
        <v>801432</v>
      </c>
      <c r="AG138" s="1">
        <v>801432</v>
      </c>
      <c r="AH138" s="1"/>
      <c r="AI138" s="1"/>
      <c r="AJ138" s="1"/>
      <c r="AK138" s="1"/>
      <c r="AL138" s="1">
        <v>42181</v>
      </c>
      <c r="AM138" s="1">
        <v>42181</v>
      </c>
      <c r="AN138" s="1"/>
      <c r="AO138" s="1"/>
      <c r="AP138" s="1"/>
      <c r="AQ138" s="1"/>
      <c r="AR138" s="1"/>
      <c r="AS138" s="1"/>
      <c r="AT138" s="1"/>
      <c r="AU138" s="1"/>
      <c r="AV138" s="2">
        <v>6979802</v>
      </c>
      <c r="AW138" s="1">
        <v>6724606</v>
      </c>
      <c r="AX138" s="1">
        <v>21908638</v>
      </c>
      <c r="AY138" s="1">
        <v>17893617</v>
      </c>
      <c r="AZ138" s="1">
        <v>21009415</v>
      </c>
      <c r="BA138" s="1">
        <v>16844000</v>
      </c>
      <c r="BB138" s="1"/>
      <c r="BC138" s="1"/>
      <c r="BD138" s="1">
        <v>888030</v>
      </c>
      <c r="BE138" s="1">
        <v>1038424</v>
      </c>
      <c r="BF138" s="1">
        <v>11193</v>
      </c>
      <c r="BG138" s="1">
        <v>11193</v>
      </c>
      <c r="BH138" s="1"/>
      <c r="BI138" s="1"/>
      <c r="BJ138" s="1"/>
      <c r="BK138" s="1"/>
      <c r="BL138" s="1">
        <v>5422645</v>
      </c>
      <c r="BM138" s="1">
        <v>100652</v>
      </c>
      <c r="BN138" s="1"/>
      <c r="BO138" s="1"/>
      <c r="BP138" s="1">
        <v>24761</v>
      </c>
      <c r="BQ138" s="1">
        <v>8817</v>
      </c>
      <c r="BR138" s="1"/>
      <c r="BS138" s="1"/>
      <c r="BT138" s="1">
        <v>532843</v>
      </c>
      <c r="BU138" s="1"/>
      <c r="BV138" s="1"/>
      <c r="BW138" s="1"/>
      <c r="BX138" s="1">
        <v>4537969</v>
      </c>
      <c r="BY138" s="1">
        <v>34019</v>
      </c>
      <c r="BZ138" s="1">
        <v>299957</v>
      </c>
      <c r="CA138" s="1">
        <v>31685</v>
      </c>
      <c r="CB138" s="1">
        <v>45</v>
      </c>
      <c r="CC138" s="1">
        <v>6</v>
      </c>
      <c r="CD138" s="1"/>
      <c r="CE138" s="1"/>
      <c r="CF138" s="1"/>
      <c r="CG138" s="1"/>
      <c r="CH138" s="1">
        <v>27070</v>
      </c>
      <c r="CI138" s="1">
        <v>26125</v>
      </c>
      <c r="CJ138" s="1">
        <v>41870</v>
      </c>
      <c r="CK138" s="1">
        <v>1378335</v>
      </c>
      <c r="CL138" s="1"/>
      <c r="CM138" s="1"/>
      <c r="CN138" s="1">
        <v>8383</v>
      </c>
      <c r="CO138" s="1">
        <v>16048</v>
      </c>
      <c r="CP138" s="1"/>
      <c r="CQ138" s="1"/>
      <c r="CR138" s="1">
        <v>33487</v>
      </c>
      <c r="CS138" s="1">
        <v>1362287</v>
      </c>
      <c r="CT138" s="1"/>
      <c r="CU138" s="1"/>
      <c r="CV138" s="1"/>
      <c r="CW138" s="1"/>
      <c r="CX138" s="2">
        <v>27373153</v>
      </c>
      <c r="CY138" s="1">
        <v>19372604</v>
      </c>
      <c r="CZ138" s="1">
        <v>34352955</v>
      </c>
      <c r="DA138" s="1">
        <v>26097210</v>
      </c>
      <c r="DB138" s="1">
        <v>620274</v>
      </c>
      <c r="DC138" s="1">
        <v>620274</v>
      </c>
      <c r="DD138" s="1">
        <v>31965</v>
      </c>
      <c r="DE138" s="1">
        <v>31965</v>
      </c>
      <c r="DF138" s="1">
        <v>2831483</v>
      </c>
      <c r="DG138" s="1">
        <v>2878017</v>
      </c>
      <c r="DH138" s="1"/>
      <c r="DI138" s="1"/>
      <c r="DJ138" s="1">
        <v>3345432</v>
      </c>
      <c r="DK138" s="1">
        <v>3306720</v>
      </c>
      <c r="DL138" s="24"/>
      <c r="DM138" s="24"/>
      <c r="DN138" s="1"/>
      <c r="DO138" s="1"/>
      <c r="DP138" s="2">
        <v>6829154</v>
      </c>
      <c r="DQ138" s="1">
        <v>6836976</v>
      </c>
      <c r="DR138" s="2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2">
        <v>27523801</v>
      </c>
      <c r="EQ138" s="1">
        <v>19260234</v>
      </c>
      <c r="ER138" s="1">
        <v>568761</v>
      </c>
      <c r="ES138" s="1">
        <v>799939</v>
      </c>
      <c r="ET138" s="1"/>
      <c r="EU138" s="1"/>
      <c r="EV138" s="1">
        <v>80090</v>
      </c>
      <c r="EW138" s="1">
        <v>166203</v>
      </c>
      <c r="EX138" s="1"/>
      <c r="EY138" s="1"/>
      <c r="EZ138" s="1"/>
      <c r="FA138" s="1">
        <v>72761</v>
      </c>
      <c r="FB138" s="1"/>
      <c r="FC138" s="1"/>
      <c r="FD138" s="1"/>
      <c r="FE138" s="1"/>
      <c r="FF138" s="1"/>
      <c r="FG138" s="1"/>
      <c r="FH138" s="1">
        <v>11684</v>
      </c>
      <c r="FI138" s="1">
        <v>84952</v>
      </c>
      <c r="FJ138" s="1">
        <v>43566</v>
      </c>
      <c r="FK138" s="1">
        <v>217903</v>
      </c>
      <c r="FL138" s="1"/>
      <c r="FM138" s="1"/>
      <c r="FN138" s="1">
        <v>66917</v>
      </c>
      <c r="FO138" s="1">
        <v>51101</v>
      </c>
      <c r="FP138" s="1">
        <v>202520</v>
      </c>
      <c r="FQ138" s="1">
        <v>2333</v>
      </c>
      <c r="FR138" s="1">
        <v>152928</v>
      </c>
      <c r="FS138" s="1">
        <v>195669</v>
      </c>
      <c r="FT138" s="1">
        <v>271333</v>
      </c>
      <c r="FU138" s="1"/>
      <c r="FV138" s="1">
        <v>26683707</v>
      </c>
      <c r="FW138" s="1">
        <v>18460295</v>
      </c>
      <c r="FX138" s="1"/>
      <c r="FY138" s="1"/>
      <c r="FZ138" s="1">
        <v>11056</v>
      </c>
      <c r="GA138" s="1">
        <v>9017</v>
      </c>
      <c r="GB138" s="1">
        <v>27523801</v>
      </c>
      <c r="GC138" s="1">
        <v>19260234</v>
      </c>
      <c r="GD138" s="1">
        <v>34352955</v>
      </c>
      <c r="GE138" s="1">
        <v>26097210</v>
      </c>
    </row>
    <row r="139" spans="1:188" s="3" customFormat="1" ht="12" x14ac:dyDescent="0.2">
      <c r="A139" s="1">
        <v>20006</v>
      </c>
      <c r="B139" s="1">
        <v>0</v>
      </c>
      <c r="C139" s="1">
        <v>201577264</v>
      </c>
      <c r="D139" s="1" t="s">
        <v>150</v>
      </c>
      <c r="E139" s="1">
        <v>12</v>
      </c>
      <c r="F139" s="1">
        <v>5</v>
      </c>
      <c r="G139" s="1">
        <v>0</v>
      </c>
      <c r="H139" s="1">
        <v>1</v>
      </c>
      <c r="I139" s="1">
        <v>2020</v>
      </c>
      <c r="J139" s="1">
        <v>4</v>
      </c>
      <c r="K139" s="1" t="s">
        <v>0</v>
      </c>
      <c r="L139" s="1">
        <v>1</v>
      </c>
      <c r="M139" s="1">
        <v>30</v>
      </c>
      <c r="N139" s="1">
        <v>0</v>
      </c>
      <c r="O139" s="1">
        <v>44242.594722222224</v>
      </c>
      <c r="P139" s="1">
        <v>12050067</v>
      </c>
      <c r="Q139" s="1">
        <v>13004701</v>
      </c>
      <c r="R139" s="1">
        <v>5983015</v>
      </c>
      <c r="S139" s="1">
        <v>7079566</v>
      </c>
      <c r="T139" s="1">
        <v>6067052</v>
      </c>
      <c r="U139" s="1">
        <v>5925135</v>
      </c>
      <c r="V139" s="1">
        <v>15830</v>
      </c>
      <c r="W139" s="1">
        <v>15830</v>
      </c>
      <c r="X139" s="1">
        <v>3033</v>
      </c>
      <c r="Y139" s="1">
        <v>6200</v>
      </c>
      <c r="Z139" s="1">
        <v>12797</v>
      </c>
      <c r="AA139" s="1">
        <v>9630</v>
      </c>
      <c r="AB139" s="1">
        <v>1183037</v>
      </c>
      <c r="AC139" s="1">
        <v>1045037</v>
      </c>
      <c r="AD139" s="1">
        <v>201424</v>
      </c>
      <c r="AE139" s="1">
        <v>201424</v>
      </c>
      <c r="AF139" s="1">
        <v>939432</v>
      </c>
      <c r="AG139" s="1">
        <v>801432</v>
      </c>
      <c r="AH139" s="1"/>
      <c r="AI139" s="1"/>
      <c r="AJ139" s="1"/>
      <c r="AK139" s="1"/>
      <c r="AL139" s="1">
        <v>42181</v>
      </c>
      <c r="AM139" s="1">
        <v>42181</v>
      </c>
      <c r="AN139" s="1"/>
      <c r="AO139" s="1"/>
      <c r="AP139" s="1">
        <v>2203</v>
      </c>
      <c r="AQ139" s="1"/>
      <c r="AR139" s="1"/>
      <c r="AS139" s="1"/>
      <c r="AT139" s="1"/>
      <c r="AU139" s="1"/>
      <c r="AV139" s="2">
        <v>7265089</v>
      </c>
      <c r="AW139" s="1">
        <v>6979802</v>
      </c>
      <c r="AX139" s="1">
        <v>22074037</v>
      </c>
      <c r="AY139" s="1">
        <v>21908638</v>
      </c>
      <c r="AZ139" s="1">
        <v>20632241</v>
      </c>
      <c r="BA139" s="1">
        <v>21009415</v>
      </c>
      <c r="BB139" s="1"/>
      <c r="BC139" s="1"/>
      <c r="BD139" s="1">
        <v>1430603</v>
      </c>
      <c r="BE139" s="1">
        <v>888030</v>
      </c>
      <c r="BF139" s="1">
        <v>11193</v>
      </c>
      <c r="BG139" s="1">
        <v>11193</v>
      </c>
      <c r="BH139" s="1"/>
      <c r="BI139" s="1"/>
      <c r="BJ139" s="1"/>
      <c r="BK139" s="1"/>
      <c r="BL139" s="1">
        <v>7565891</v>
      </c>
      <c r="BM139" s="1">
        <v>5422645</v>
      </c>
      <c r="BN139" s="1"/>
      <c r="BO139" s="1"/>
      <c r="BP139" s="1">
        <v>14595</v>
      </c>
      <c r="BQ139" s="1">
        <v>24761</v>
      </c>
      <c r="BR139" s="1"/>
      <c r="BS139" s="1"/>
      <c r="BT139" s="1"/>
      <c r="BU139" s="1">
        <v>532843</v>
      </c>
      <c r="BV139" s="1"/>
      <c r="BW139" s="1"/>
      <c r="BX139" s="1">
        <v>7369765</v>
      </c>
      <c r="BY139" s="1">
        <v>4537969</v>
      </c>
      <c r="BZ139" s="1">
        <v>134164</v>
      </c>
      <c r="CA139" s="1">
        <v>299957</v>
      </c>
      <c r="CB139" s="1">
        <v>210</v>
      </c>
      <c r="CC139" s="1">
        <v>45</v>
      </c>
      <c r="CD139" s="1"/>
      <c r="CE139" s="1"/>
      <c r="CF139" s="1"/>
      <c r="CG139" s="1"/>
      <c r="CH139" s="1">
        <v>47157</v>
      </c>
      <c r="CI139" s="1">
        <v>27070</v>
      </c>
      <c r="CJ139" s="1">
        <v>302097</v>
      </c>
      <c r="CK139" s="1">
        <v>41870</v>
      </c>
      <c r="CL139" s="1"/>
      <c r="CM139" s="1"/>
      <c r="CN139" s="1">
        <v>102168</v>
      </c>
      <c r="CO139" s="1">
        <v>8383</v>
      </c>
      <c r="CP139" s="1"/>
      <c r="CQ139" s="1"/>
      <c r="CR139" s="1">
        <v>199929</v>
      </c>
      <c r="CS139" s="1">
        <v>33487</v>
      </c>
      <c r="CT139" s="1"/>
      <c r="CU139" s="1"/>
      <c r="CV139" s="1"/>
      <c r="CW139" s="1"/>
      <c r="CX139" s="2">
        <v>29942025</v>
      </c>
      <c r="CY139" s="1">
        <v>27373153</v>
      </c>
      <c r="CZ139" s="1">
        <v>37207114</v>
      </c>
      <c r="DA139" s="1">
        <v>34352955</v>
      </c>
      <c r="DB139" s="1">
        <v>620274</v>
      </c>
      <c r="DC139" s="1">
        <v>620274</v>
      </c>
      <c r="DD139" s="1">
        <v>31965</v>
      </c>
      <c r="DE139" s="1">
        <v>31965</v>
      </c>
      <c r="DF139" s="1">
        <v>2682698</v>
      </c>
      <c r="DG139" s="1">
        <v>2831483</v>
      </c>
      <c r="DH139" s="1"/>
      <c r="DI139" s="1"/>
      <c r="DJ139" s="1">
        <v>3279252</v>
      </c>
      <c r="DK139" s="1">
        <v>3345432</v>
      </c>
      <c r="DL139" s="24"/>
      <c r="DM139" s="24"/>
      <c r="DN139" s="1"/>
      <c r="DO139" s="1"/>
      <c r="DP139" s="2">
        <v>6614189</v>
      </c>
      <c r="DQ139" s="1">
        <v>6829154</v>
      </c>
      <c r="DR139" s="2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2">
        <v>30592925</v>
      </c>
      <c r="EQ139" s="1">
        <v>27523801</v>
      </c>
      <c r="ER139" s="1">
        <v>8603676</v>
      </c>
      <c r="ES139" s="1">
        <v>568761</v>
      </c>
      <c r="ET139" s="1"/>
      <c r="EU139" s="1"/>
      <c r="EV139" s="1">
        <v>89953</v>
      </c>
      <c r="EW139" s="1">
        <v>80090</v>
      </c>
      <c r="EX139" s="1"/>
      <c r="EY139" s="1"/>
      <c r="EZ139" s="1">
        <v>7184211</v>
      </c>
      <c r="FA139" s="1"/>
      <c r="FB139" s="1"/>
      <c r="FC139" s="1"/>
      <c r="FD139" s="1"/>
      <c r="FE139" s="1"/>
      <c r="FF139" s="1"/>
      <c r="FG139" s="1"/>
      <c r="FH139" s="1">
        <v>220329</v>
      </c>
      <c r="FI139" s="1">
        <v>11684</v>
      </c>
      <c r="FJ139" s="1">
        <v>140696</v>
      </c>
      <c r="FK139" s="1">
        <v>43566</v>
      </c>
      <c r="FL139" s="1"/>
      <c r="FM139" s="1"/>
      <c r="FN139" s="1">
        <v>279758</v>
      </c>
      <c r="FO139" s="1">
        <v>66917</v>
      </c>
      <c r="FP139" s="1">
        <v>796</v>
      </c>
      <c r="FQ139" s="1">
        <v>202520</v>
      </c>
      <c r="FR139" s="1">
        <v>669610</v>
      </c>
      <c r="FS139" s="1">
        <v>152928</v>
      </c>
      <c r="FT139" s="1">
        <v>945218</v>
      </c>
      <c r="FU139" s="1">
        <v>271333</v>
      </c>
      <c r="FV139" s="1">
        <v>21044031</v>
      </c>
      <c r="FW139" s="1">
        <v>26683707</v>
      </c>
      <c r="FX139" s="1"/>
      <c r="FY139" s="1"/>
      <c r="FZ139" s="1">
        <v>18323</v>
      </c>
      <c r="GA139" s="1">
        <v>11056</v>
      </c>
      <c r="GB139" s="1">
        <v>30592925</v>
      </c>
      <c r="GC139" s="1">
        <v>27523801</v>
      </c>
      <c r="GD139" s="1">
        <v>37207114</v>
      </c>
      <c r="GE139" s="1">
        <v>34352955</v>
      </c>
    </row>
    <row r="140" spans="1:188" s="3" customFormat="1" ht="12" x14ac:dyDescent="0.2">
      <c r="A140" s="1">
        <v>20006</v>
      </c>
      <c r="B140" s="1">
        <v>0</v>
      </c>
      <c r="C140" s="1">
        <v>201577264</v>
      </c>
      <c r="D140" s="1" t="s">
        <v>150</v>
      </c>
      <c r="E140" s="1">
        <v>12</v>
      </c>
      <c r="F140" s="1">
        <v>5</v>
      </c>
      <c r="G140" s="1">
        <v>0</v>
      </c>
      <c r="H140" s="1">
        <v>1</v>
      </c>
      <c r="I140" s="1">
        <v>2019</v>
      </c>
      <c r="J140" s="1">
        <v>4</v>
      </c>
      <c r="K140" s="1" t="s">
        <v>0</v>
      </c>
      <c r="L140" s="1">
        <v>1</v>
      </c>
      <c r="M140" s="1">
        <v>30</v>
      </c>
      <c r="N140" s="1">
        <v>0</v>
      </c>
      <c r="O140" s="1">
        <v>43876.660057870373</v>
      </c>
      <c r="P140" s="1">
        <v>9464680</v>
      </c>
      <c r="Q140" s="1">
        <v>11242762</v>
      </c>
      <c r="R140" s="1">
        <v>4706663</v>
      </c>
      <c r="S140" s="1">
        <v>5591627</v>
      </c>
      <c r="T140" s="1">
        <v>4758017</v>
      </c>
      <c r="U140" s="1">
        <v>5651135</v>
      </c>
      <c r="V140" s="1">
        <v>7880</v>
      </c>
      <c r="W140" s="1">
        <v>15830</v>
      </c>
      <c r="X140" s="1"/>
      <c r="Y140" s="1">
        <v>3033</v>
      </c>
      <c r="Z140" s="1">
        <v>7880</v>
      </c>
      <c r="AA140" s="1">
        <v>12797</v>
      </c>
      <c r="AB140" s="1">
        <v>1206037</v>
      </c>
      <c r="AC140" s="1">
        <v>1183037</v>
      </c>
      <c r="AD140" s="1">
        <v>201424</v>
      </c>
      <c r="AE140" s="1">
        <v>201424</v>
      </c>
      <c r="AF140" s="1">
        <v>939432</v>
      </c>
      <c r="AG140" s="1">
        <v>939432</v>
      </c>
      <c r="AH140" s="1"/>
      <c r="AI140" s="1"/>
      <c r="AJ140" s="1"/>
      <c r="AK140" s="1"/>
      <c r="AL140" s="1">
        <v>65181</v>
      </c>
      <c r="AM140" s="1">
        <v>42181</v>
      </c>
      <c r="AN140" s="1"/>
      <c r="AO140" s="1"/>
      <c r="AP140" s="1"/>
      <c r="AQ140" s="1">
        <v>2203</v>
      </c>
      <c r="AR140" s="1"/>
      <c r="AS140" s="1"/>
      <c r="AT140" s="1"/>
      <c r="AU140" s="1"/>
      <c r="AV140" s="2">
        <v>5971934</v>
      </c>
      <c r="AW140" s="1">
        <v>6849172</v>
      </c>
      <c r="AX140" s="1">
        <v>13511189</v>
      </c>
      <c r="AY140" s="1">
        <v>22074037</v>
      </c>
      <c r="AZ140" s="1">
        <v>12599538</v>
      </c>
      <c r="BA140" s="1">
        <v>20632241</v>
      </c>
      <c r="BB140" s="1"/>
      <c r="BC140" s="1"/>
      <c r="BD140" s="1">
        <v>792125</v>
      </c>
      <c r="BE140" s="1">
        <v>1430603</v>
      </c>
      <c r="BF140" s="1">
        <v>119526</v>
      </c>
      <c r="BG140" s="1">
        <v>11193</v>
      </c>
      <c r="BH140" s="1"/>
      <c r="BI140" s="1"/>
      <c r="BJ140" s="1"/>
      <c r="BK140" s="1"/>
      <c r="BL140" s="1">
        <v>4394047</v>
      </c>
      <c r="BM140" s="1">
        <v>7565891</v>
      </c>
      <c r="BN140" s="1"/>
      <c r="BO140" s="1"/>
      <c r="BP140" s="1">
        <v>64900</v>
      </c>
      <c r="BQ140" s="1">
        <v>14595</v>
      </c>
      <c r="BR140" s="1"/>
      <c r="BS140" s="1"/>
      <c r="BT140" s="1"/>
      <c r="BU140" s="1"/>
      <c r="BV140" s="1"/>
      <c r="BW140" s="1"/>
      <c r="BX140" s="1">
        <v>4284177</v>
      </c>
      <c r="BY140" s="1">
        <v>7369765</v>
      </c>
      <c r="BZ140" s="1">
        <v>14402</v>
      </c>
      <c r="CA140" s="1">
        <v>134164</v>
      </c>
      <c r="CB140" s="1">
        <v>1012</v>
      </c>
      <c r="CC140" s="1">
        <v>210</v>
      </c>
      <c r="CD140" s="1"/>
      <c r="CE140" s="1"/>
      <c r="CF140" s="1">
        <v>10767</v>
      </c>
      <c r="CG140" s="1"/>
      <c r="CH140" s="1">
        <v>18789</v>
      </c>
      <c r="CI140" s="1">
        <v>47157</v>
      </c>
      <c r="CJ140" s="1">
        <v>31133</v>
      </c>
      <c r="CK140" s="1">
        <v>302097</v>
      </c>
      <c r="CL140" s="1"/>
      <c r="CM140" s="1"/>
      <c r="CN140" s="1">
        <v>266</v>
      </c>
      <c r="CO140" s="1">
        <v>102168</v>
      </c>
      <c r="CP140" s="1"/>
      <c r="CQ140" s="1"/>
      <c r="CR140" s="1">
        <v>30867</v>
      </c>
      <c r="CS140" s="1">
        <v>199929</v>
      </c>
      <c r="CT140" s="1"/>
      <c r="CU140" s="1"/>
      <c r="CV140" s="1"/>
      <c r="CW140" s="1"/>
      <c r="CX140" s="2">
        <v>17936369</v>
      </c>
      <c r="CY140" s="1">
        <v>29942025</v>
      </c>
      <c r="CZ140" s="1">
        <v>23908303</v>
      </c>
      <c r="DA140" s="1">
        <v>36791197</v>
      </c>
      <c r="DB140" s="1">
        <v>620274</v>
      </c>
      <c r="DC140" s="1">
        <v>620274</v>
      </c>
      <c r="DD140" s="1">
        <v>31965</v>
      </c>
      <c r="DE140" s="1">
        <v>31965</v>
      </c>
      <c r="DF140" s="1">
        <v>2258067</v>
      </c>
      <c r="DG140" s="1">
        <v>2266781</v>
      </c>
      <c r="DH140" s="1"/>
      <c r="DI140" s="1"/>
      <c r="DJ140" s="1">
        <v>443640</v>
      </c>
      <c r="DK140" s="1">
        <v>3279252</v>
      </c>
      <c r="DL140" s="24"/>
      <c r="DM140" s="24"/>
      <c r="DN140" s="1"/>
      <c r="DO140" s="1"/>
      <c r="DP140" s="2">
        <v>3353946</v>
      </c>
      <c r="DQ140" s="1">
        <v>6198272</v>
      </c>
      <c r="DR140" s="2">
        <v>71248</v>
      </c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>
        <v>71248</v>
      </c>
      <c r="EK140" s="1"/>
      <c r="EL140" s="1"/>
      <c r="EM140" s="1"/>
      <c r="EN140" s="1"/>
      <c r="EO140" s="1"/>
      <c r="EP140" s="2">
        <v>20483109</v>
      </c>
      <c r="EQ140" s="1">
        <v>30592925</v>
      </c>
      <c r="ER140" s="1">
        <v>5525244</v>
      </c>
      <c r="ES140" s="1">
        <v>8603676</v>
      </c>
      <c r="ET140" s="1"/>
      <c r="EU140" s="1"/>
      <c r="EV140" s="1">
        <v>290421</v>
      </c>
      <c r="EW140" s="1">
        <v>89953</v>
      </c>
      <c r="EX140" s="1"/>
      <c r="EY140" s="1"/>
      <c r="EZ140" s="1">
        <v>4280614</v>
      </c>
      <c r="FA140" s="1">
        <v>7184211</v>
      </c>
      <c r="FB140" s="1"/>
      <c r="FC140" s="1"/>
      <c r="FD140" s="1"/>
      <c r="FE140" s="1"/>
      <c r="FF140" s="1"/>
      <c r="FG140" s="1"/>
      <c r="FH140" s="1">
        <v>49585</v>
      </c>
      <c r="FI140" s="1">
        <v>220329</v>
      </c>
      <c r="FJ140" s="1">
        <v>302466</v>
      </c>
      <c r="FK140" s="1">
        <v>140696</v>
      </c>
      <c r="FL140" s="1"/>
      <c r="FM140" s="1"/>
      <c r="FN140" s="1">
        <v>262205</v>
      </c>
      <c r="FO140" s="1">
        <v>279758</v>
      </c>
      <c r="FP140" s="1">
        <v>18672</v>
      </c>
      <c r="FQ140" s="1">
        <v>796</v>
      </c>
      <c r="FR140" s="1">
        <v>302897</v>
      </c>
      <c r="FS140" s="1">
        <v>669610</v>
      </c>
      <c r="FT140" s="1">
        <v>1130000</v>
      </c>
      <c r="FU140" s="1">
        <v>945218</v>
      </c>
      <c r="FV140" s="1">
        <v>13827865</v>
      </c>
      <c r="FW140" s="1">
        <v>21044031</v>
      </c>
      <c r="FX140" s="1"/>
      <c r="FY140" s="1"/>
      <c r="FZ140" s="1">
        <v>18384</v>
      </c>
      <c r="GA140" s="1">
        <v>18323</v>
      </c>
      <c r="GB140" s="1">
        <v>20554357</v>
      </c>
      <c r="GC140" s="1">
        <v>30592925</v>
      </c>
      <c r="GD140" s="1">
        <v>23908303</v>
      </c>
      <c r="GE140" s="1">
        <v>36791197</v>
      </c>
    </row>
    <row r="141" spans="1:188" s="3" customFormat="1" x14ac:dyDescent="0.25">
      <c r="A141" s="1">
        <v>20006</v>
      </c>
      <c r="B141" s="1">
        <v>0</v>
      </c>
      <c r="C141" s="3">
        <v>201577264</v>
      </c>
      <c r="D141" s="3" t="s">
        <v>150</v>
      </c>
      <c r="E141" s="4">
        <v>12</v>
      </c>
      <c r="F141" s="4">
        <v>5</v>
      </c>
      <c r="G141" s="4">
        <v>0</v>
      </c>
      <c r="H141" s="4">
        <v>1</v>
      </c>
      <c r="I141" s="1">
        <v>2018</v>
      </c>
      <c r="J141" s="1">
        <v>4</v>
      </c>
      <c r="K141" s="3" t="s">
        <v>0</v>
      </c>
      <c r="L141" s="1">
        <v>1</v>
      </c>
      <c r="M141" s="1">
        <v>30</v>
      </c>
      <c r="N141" s="5">
        <v>0</v>
      </c>
      <c r="O141" s="6">
        <v>43511.386423611111</v>
      </c>
      <c r="P141" s="1">
        <v>8616999</v>
      </c>
      <c r="Q141" s="1">
        <v>8897291</v>
      </c>
      <c r="R141" s="1">
        <v>3594650</v>
      </c>
      <c r="S141" s="1">
        <v>4465944</v>
      </c>
      <c r="T141" s="1">
        <v>5022349</v>
      </c>
      <c r="U141" s="1">
        <v>4431347</v>
      </c>
      <c r="V141" s="1"/>
      <c r="W141" s="1">
        <v>7880</v>
      </c>
      <c r="X141" s="1"/>
      <c r="Y141" s="1"/>
      <c r="Z141" s="1"/>
      <c r="AA141" s="1">
        <v>7880</v>
      </c>
      <c r="AB141" s="1">
        <v>1200037</v>
      </c>
      <c r="AC141" s="1">
        <v>1206037</v>
      </c>
      <c r="AD141" s="1">
        <v>201424</v>
      </c>
      <c r="AE141" s="1">
        <v>201424</v>
      </c>
      <c r="AF141" s="1">
        <v>939432</v>
      </c>
      <c r="AG141" s="1">
        <v>939432</v>
      </c>
      <c r="AH141" s="1"/>
      <c r="AI141" s="1"/>
      <c r="AJ141" s="1"/>
      <c r="AK141" s="1"/>
      <c r="AL141" s="1">
        <v>59181</v>
      </c>
      <c r="AM141" s="1">
        <v>65181</v>
      </c>
      <c r="AN141" s="1"/>
      <c r="AO141" s="1"/>
      <c r="AP141" s="1"/>
      <c r="AQ141" s="1"/>
      <c r="AR141" s="1"/>
      <c r="AS141" s="1"/>
      <c r="AT141" s="1"/>
      <c r="AU141" s="1"/>
      <c r="AV141" s="2">
        <v>6222386</v>
      </c>
      <c r="AW141" s="1">
        <v>5645264</v>
      </c>
      <c r="AX141" s="1">
        <v>9336387</v>
      </c>
      <c r="AY141" s="1">
        <v>13511189</v>
      </c>
      <c r="AZ141" s="1">
        <v>8435285</v>
      </c>
      <c r="BA141" s="1">
        <v>12599538</v>
      </c>
      <c r="BB141" s="1"/>
      <c r="BC141" s="1"/>
      <c r="BD141" s="1">
        <v>887881</v>
      </c>
      <c r="BE141" s="1">
        <v>792125</v>
      </c>
      <c r="BF141" s="1">
        <v>13221</v>
      </c>
      <c r="BG141" s="1">
        <v>119526</v>
      </c>
      <c r="BH141" s="1"/>
      <c r="BI141" s="1"/>
      <c r="BJ141" s="1"/>
      <c r="BK141" s="1"/>
      <c r="BL141" s="1">
        <v>3848771</v>
      </c>
      <c r="BM141" s="1">
        <v>4394047</v>
      </c>
      <c r="BN141" s="1"/>
      <c r="BO141" s="1"/>
      <c r="BP141" s="1">
        <v>56743</v>
      </c>
      <c r="BQ141" s="1">
        <v>64900</v>
      </c>
      <c r="BR141" s="1"/>
      <c r="BS141" s="1"/>
      <c r="BT141" s="1">
        <v>4450</v>
      </c>
      <c r="BU141" s="1"/>
      <c r="BV141" s="1"/>
      <c r="BW141" s="1"/>
      <c r="BX141" s="1">
        <v>3693249</v>
      </c>
      <c r="BY141" s="1">
        <v>4284177</v>
      </c>
      <c r="BZ141" s="1">
        <v>29352</v>
      </c>
      <c r="CA141" s="1">
        <v>14402</v>
      </c>
      <c r="CB141" s="1"/>
      <c r="CC141" s="1">
        <v>1012</v>
      </c>
      <c r="CD141" s="1"/>
      <c r="CE141" s="1"/>
      <c r="CF141" s="1">
        <v>31409</v>
      </c>
      <c r="CG141" s="1">
        <v>10767</v>
      </c>
      <c r="CH141" s="1">
        <v>33568</v>
      </c>
      <c r="CI141" s="1">
        <v>18789</v>
      </c>
      <c r="CJ141" s="1">
        <v>665</v>
      </c>
      <c r="CK141" s="1">
        <v>31133</v>
      </c>
      <c r="CL141" s="1">
        <v>633</v>
      </c>
      <c r="CM141" s="1">
        <v>266</v>
      </c>
      <c r="CN141" s="1"/>
      <c r="CO141" s="1"/>
      <c r="CP141" s="1"/>
      <c r="CQ141" s="1"/>
      <c r="CR141" s="1">
        <v>32</v>
      </c>
      <c r="CS141" s="1">
        <v>30867</v>
      </c>
      <c r="CT141" s="1"/>
      <c r="CU141" s="1"/>
      <c r="CV141" s="1"/>
      <c r="CW141" s="1"/>
      <c r="CX141" s="2">
        <v>13185823</v>
      </c>
      <c r="CY141" s="1">
        <v>17936369</v>
      </c>
      <c r="CZ141" s="1">
        <v>19408209</v>
      </c>
      <c r="DA141" s="1">
        <v>23581633</v>
      </c>
      <c r="DB141" s="1">
        <v>620274</v>
      </c>
      <c r="DC141" s="1">
        <v>620274</v>
      </c>
      <c r="DD141" s="1">
        <v>31965</v>
      </c>
      <c r="DE141" s="1">
        <v>31965</v>
      </c>
      <c r="DF141" s="1">
        <v>1932104</v>
      </c>
      <c r="DG141" s="1">
        <v>1931397</v>
      </c>
      <c r="DH141" s="1"/>
      <c r="DI141" s="1"/>
      <c r="DJ141" s="1">
        <v>241348</v>
      </c>
      <c r="DK141" s="1">
        <v>443640</v>
      </c>
      <c r="DL141" s="24"/>
      <c r="DM141" s="24"/>
      <c r="DN141" s="1"/>
      <c r="DO141" s="1"/>
      <c r="DP141" s="2">
        <v>2825691</v>
      </c>
      <c r="DQ141" s="1">
        <v>3027276</v>
      </c>
      <c r="DR141" s="2">
        <v>527634</v>
      </c>
      <c r="DS141" s="1">
        <v>71248</v>
      </c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>
        <v>527634</v>
      </c>
      <c r="EK141" s="1">
        <v>71248</v>
      </c>
      <c r="EL141" s="1"/>
      <c r="EM141" s="1"/>
      <c r="EN141" s="1"/>
      <c r="EO141" s="1"/>
      <c r="EP141" s="2">
        <v>16054884</v>
      </c>
      <c r="EQ141" s="1">
        <v>20483109</v>
      </c>
      <c r="ER141" s="1">
        <v>5484716</v>
      </c>
      <c r="ES141" s="1">
        <v>5525244</v>
      </c>
      <c r="ET141" s="1"/>
      <c r="EU141" s="1"/>
      <c r="EV141" s="1">
        <v>1079878</v>
      </c>
      <c r="EW141" s="1">
        <v>290471</v>
      </c>
      <c r="EX141" s="1"/>
      <c r="EY141" s="1">
        <v>50</v>
      </c>
      <c r="EZ141" s="1">
        <v>3708486</v>
      </c>
      <c r="FA141" s="1">
        <v>4280564</v>
      </c>
      <c r="FB141" s="1"/>
      <c r="FC141" s="1"/>
      <c r="FD141" s="1">
        <v>176233</v>
      </c>
      <c r="FE141" s="1"/>
      <c r="FF141" s="1"/>
      <c r="FG141" s="1"/>
      <c r="FH141" s="1"/>
      <c r="FI141" s="1">
        <v>49585</v>
      </c>
      <c r="FJ141" s="1">
        <v>86826</v>
      </c>
      <c r="FK141" s="1">
        <v>302466</v>
      </c>
      <c r="FL141" s="1"/>
      <c r="FM141" s="1"/>
      <c r="FN141" s="1">
        <v>243190</v>
      </c>
      <c r="FO141" s="1">
        <v>262205</v>
      </c>
      <c r="FP141" s="1">
        <v>20701</v>
      </c>
      <c r="FQ141" s="1">
        <v>18672</v>
      </c>
      <c r="FR141" s="1">
        <v>86340</v>
      </c>
      <c r="FS141" s="1">
        <v>302897</v>
      </c>
      <c r="FT141" s="1">
        <v>733333</v>
      </c>
      <c r="FU141" s="1">
        <v>1130000</v>
      </c>
      <c r="FV141" s="1">
        <v>9836835</v>
      </c>
      <c r="FW141" s="1">
        <v>13827865</v>
      </c>
      <c r="FX141" s="1"/>
      <c r="FY141" s="1"/>
      <c r="FZ141" s="1">
        <v>83062</v>
      </c>
      <c r="GA141" s="1">
        <v>18384</v>
      </c>
      <c r="GB141" s="1">
        <v>16582518</v>
      </c>
      <c r="GC141" s="1">
        <v>20554357</v>
      </c>
      <c r="GD141" s="1">
        <v>19408209</v>
      </c>
      <c r="GE141" s="1">
        <v>23581633</v>
      </c>
      <c r="GF141" s="14">
        <f t="shared" ref="GF141" si="3">GE141-DA141</f>
        <v>0</v>
      </c>
    </row>
    <row r="142" spans="1:188" s="3" customFormat="1" ht="12" x14ac:dyDescent="0.2">
      <c r="A142" s="1">
        <v>20006</v>
      </c>
      <c r="B142" s="1">
        <v>0</v>
      </c>
      <c r="C142" s="1">
        <v>201818683</v>
      </c>
      <c r="D142" s="1" t="s">
        <v>151</v>
      </c>
      <c r="E142" s="1">
        <v>18</v>
      </c>
      <c r="F142" s="1">
        <v>18</v>
      </c>
      <c r="G142" s="1">
        <v>0</v>
      </c>
      <c r="H142" s="1">
        <v>1</v>
      </c>
      <c r="I142" s="1">
        <v>2021</v>
      </c>
      <c r="J142" s="1">
        <v>4</v>
      </c>
      <c r="K142" s="1" t="s">
        <v>0</v>
      </c>
      <c r="L142" s="1">
        <v>2</v>
      </c>
      <c r="M142" s="1">
        <v>30</v>
      </c>
      <c r="N142" s="1">
        <v>0</v>
      </c>
      <c r="O142" s="1">
        <v>44635.471041666664</v>
      </c>
      <c r="P142" s="1">
        <v>18669207</v>
      </c>
      <c r="Q142" s="1">
        <v>21595057</v>
      </c>
      <c r="R142" s="1">
        <v>4529145</v>
      </c>
      <c r="S142" s="1">
        <v>5657073</v>
      </c>
      <c r="T142" s="1">
        <v>14140062</v>
      </c>
      <c r="U142" s="1">
        <v>15937984</v>
      </c>
      <c r="V142" s="1">
        <v>7880</v>
      </c>
      <c r="W142" s="1">
        <v>7880</v>
      </c>
      <c r="X142" s="1">
        <v>1182</v>
      </c>
      <c r="Y142" s="1">
        <v>1970</v>
      </c>
      <c r="Z142" s="1">
        <v>6698</v>
      </c>
      <c r="AA142" s="1">
        <v>5910</v>
      </c>
      <c r="AB142" s="1">
        <v>534444</v>
      </c>
      <c r="AC142" s="1">
        <v>534444</v>
      </c>
      <c r="AD142" s="1">
        <v>51655</v>
      </c>
      <c r="AE142" s="1">
        <v>51655</v>
      </c>
      <c r="AF142" s="1"/>
      <c r="AG142" s="1"/>
      <c r="AH142" s="1">
        <v>477789</v>
      </c>
      <c r="AI142" s="1">
        <v>477789</v>
      </c>
      <c r="AJ142" s="1"/>
      <c r="AK142" s="1"/>
      <c r="AL142" s="1">
        <v>5000</v>
      </c>
      <c r="AM142" s="1">
        <v>5000</v>
      </c>
      <c r="AN142" s="1">
        <v>1918</v>
      </c>
      <c r="AO142" s="1"/>
      <c r="AP142" s="1"/>
      <c r="AQ142" s="1"/>
      <c r="AR142" s="1"/>
      <c r="AS142" s="1"/>
      <c r="AT142" s="1"/>
      <c r="AU142" s="1"/>
      <c r="AV142" s="2">
        <v>14683122</v>
      </c>
      <c r="AW142" s="1">
        <v>16478338</v>
      </c>
      <c r="AX142" s="1">
        <v>139177341</v>
      </c>
      <c r="AY142" s="1">
        <v>116575891</v>
      </c>
      <c r="AZ142" s="1">
        <v>137848169</v>
      </c>
      <c r="BA142" s="1">
        <v>115115209</v>
      </c>
      <c r="BB142" s="1"/>
      <c r="BC142" s="1"/>
      <c r="BD142" s="1">
        <v>1053821</v>
      </c>
      <c r="BE142" s="1">
        <v>1428204</v>
      </c>
      <c r="BF142" s="1">
        <v>275351</v>
      </c>
      <c r="BG142" s="1">
        <v>32478</v>
      </c>
      <c r="BH142" s="1"/>
      <c r="BI142" s="1"/>
      <c r="BJ142" s="1"/>
      <c r="BK142" s="1"/>
      <c r="BL142" s="1">
        <v>27142746</v>
      </c>
      <c r="BM142" s="1">
        <v>23558715</v>
      </c>
      <c r="BN142" s="1"/>
      <c r="BO142" s="1"/>
      <c r="BP142" s="1">
        <v>760746</v>
      </c>
      <c r="BQ142" s="1">
        <v>487991</v>
      </c>
      <c r="BR142" s="1"/>
      <c r="BS142" s="1"/>
      <c r="BT142" s="1">
        <v>106237</v>
      </c>
      <c r="BU142" s="1">
        <v>310476</v>
      </c>
      <c r="BV142" s="1">
        <v>3913</v>
      </c>
      <c r="BW142" s="1">
        <v>27660</v>
      </c>
      <c r="BX142" s="1">
        <v>15948310</v>
      </c>
      <c r="BY142" s="1">
        <v>19432464</v>
      </c>
      <c r="BZ142" s="1">
        <v>10305260</v>
      </c>
      <c r="CA142" s="1">
        <v>3067567</v>
      </c>
      <c r="CB142" s="1"/>
      <c r="CC142" s="1">
        <v>216623</v>
      </c>
      <c r="CD142" s="1"/>
      <c r="CE142" s="1"/>
      <c r="CF142" s="1"/>
      <c r="CG142" s="1"/>
      <c r="CH142" s="1">
        <v>18280</v>
      </c>
      <c r="CI142" s="1">
        <v>15934</v>
      </c>
      <c r="CJ142" s="1">
        <v>599718</v>
      </c>
      <c r="CK142" s="1">
        <v>489008</v>
      </c>
      <c r="CL142" s="1">
        <v>1751</v>
      </c>
      <c r="CM142" s="1">
        <v>2</v>
      </c>
      <c r="CN142" s="1">
        <v>14765</v>
      </c>
      <c r="CO142" s="1">
        <v>12327</v>
      </c>
      <c r="CP142" s="1">
        <v>22982</v>
      </c>
      <c r="CQ142" s="1">
        <v>22982</v>
      </c>
      <c r="CR142" s="1">
        <v>560220</v>
      </c>
      <c r="CS142" s="1">
        <v>453697</v>
      </c>
      <c r="CT142" s="1"/>
      <c r="CU142" s="1"/>
      <c r="CV142" s="1">
        <v>3132819</v>
      </c>
      <c r="CW142" s="1">
        <v>3155862</v>
      </c>
      <c r="CX142" s="2">
        <v>170052624</v>
      </c>
      <c r="CY142" s="1">
        <v>143779476</v>
      </c>
      <c r="CZ142" s="1">
        <v>184735746</v>
      </c>
      <c r="DA142" s="1">
        <v>160257814</v>
      </c>
      <c r="DB142" s="1">
        <v>826814</v>
      </c>
      <c r="DC142" s="1">
        <v>826814</v>
      </c>
      <c r="DD142" s="1">
        <v>29964</v>
      </c>
      <c r="DE142" s="1">
        <v>29964</v>
      </c>
      <c r="DF142" s="1">
        <v>1674488</v>
      </c>
      <c r="DG142" s="1">
        <v>1660336</v>
      </c>
      <c r="DH142" s="1"/>
      <c r="DI142" s="1"/>
      <c r="DJ142" s="1">
        <v>8359250</v>
      </c>
      <c r="DK142" s="1">
        <v>9893422</v>
      </c>
      <c r="DL142" s="24">
        <v>94347820</v>
      </c>
      <c r="DM142" s="24">
        <v>94347820</v>
      </c>
      <c r="DN142" s="1"/>
      <c r="DO142" s="1"/>
      <c r="DP142" s="2">
        <v>105238336</v>
      </c>
      <c r="DQ142" s="1">
        <v>106758356</v>
      </c>
      <c r="DR142" s="2">
        <v>4299538</v>
      </c>
      <c r="DS142" s="1">
        <v>7500000</v>
      </c>
      <c r="DT142" s="1"/>
      <c r="DU142" s="1"/>
      <c r="DV142" s="1"/>
      <c r="DW142" s="1"/>
      <c r="DX142" s="1"/>
      <c r="DY142" s="1"/>
      <c r="DZ142" s="1"/>
      <c r="EA142" s="1"/>
      <c r="EB142" s="1"/>
      <c r="EC142" s="1">
        <v>7500000</v>
      </c>
      <c r="ED142" s="1"/>
      <c r="EE142" s="1"/>
      <c r="EF142" s="1"/>
      <c r="EG142" s="1"/>
      <c r="EH142" s="1"/>
      <c r="EI142" s="1"/>
      <c r="EJ142" s="1">
        <v>4299538</v>
      </c>
      <c r="EK142" s="1"/>
      <c r="EL142" s="1"/>
      <c r="EM142" s="1"/>
      <c r="EN142" s="1"/>
      <c r="EO142" s="1"/>
      <c r="EP142" s="2">
        <v>75197869</v>
      </c>
      <c r="EQ142" s="1">
        <v>45999461</v>
      </c>
      <c r="ER142" s="1">
        <v>10991674</v>
      </c>
      <c r="ES142" s="1">
        <v>9151975</v>
      </c>
      <c r="ET142" s="1"/>
      <c r="EU142" s="1"/>
      <c r="EV142" s="1">
        <v>1775801</v>
      </c>
      <c r="EW142" s="1">
        <v>4764220</v>
      </c>
      <c r="EX142" s="1"/>
      <c r="EY142" s="1"/>
      <c r="EZ142" s="1">
        <v>6269903</v>
      </c>
      <c r="FA142" s="1">
        <v>857791</v>
      </c>
      <c r="FB142" s="1"/>
      <c r="FC142" s="1"/>
      <c r="FD142" s="1"/>
      <c r="FE142" s="1"/>
      <c r="FF142" s="1"/>
      <c r="FG142" s="1"/>
      <c r="FH142" s="1">
        <v>333703</v>
      </c>
      <c r="FI142" s="1">
        <v>127617</v>
      </c>
      <c r="FJ142" s="1">
        <v>1558721</v>
      </c>
      <c r="FK142" s="1">
        <v>2577140</v>
      </c>
      <c r="FL142" s="1"/>
      <c r="FM142" s="1"/>
      <c r="FN142" s="1"/>
      <c r="FO142" s="1">
        <v>20384</v>
      </c>
      <c r="FP142" s="1">
        <v>276924</v>
      </c>
      <c r="FQ142" s="1">
        <v>150719</v>
      </c>
      <c r="FR142" s="1">
        <v>693860</v>
      </c>
      <c r="FS142" s="1">
        <v>555434</v>
      </c>
      <c r="FT142" s="1"/>
      <c r="FU142" s="1"/>
      <c r="FV142" s="1">
        <v>64206195</v>
      </c>
      <c r="FW142" s="1">
        <v>36847486</v>
      </c>
      <c r="FX142" s="1"/>
      <c r="FY142" s="1"/>
      <c r="FZ142" s="1">
        <v>82762</v>
      </c>
      <c r="GA142" s="1">
        <v>98670</v>
      </c>
      <c r="GB142" s="1">
        <v>79497407</v>
      </c>
      <c r="GC142" s="1">
        <v>53499461</v>
      </c>
      <c r="GD142" s="1">
        <v>184735743</v>
      </c>
      <c r="GE142" s="1">
        <v>160257817</v>
      </c>
    </row>
    <row r="143" spans="1:188" s="3" customFormat="1" ht="12" x14ac:dyDescent="0.2">
      <c r="A143" s="1">
        <v>20006</v>
      </c>
      <c r="B143" s="1">
        <v>0</v>
      </c>
      <c r="C143" s="1">
        <v>201818683</v>
      </c>
      <c r="D143" s="1" t="s">
        <v>151</v>
      </c>
      <c r="E143" s="1">
        <v>18</v>
      </c>
      <c r="F143" s="1">
        <v>18</v>
      </c>
      <c r="G143" s="1">
        <v>0</v>
      </c>
      <c r="H143" s="1">
        <v>1</v>
      </c>
      <c r="I143" s="1">
        <v>2020</v>
      </c>
      <c r="J143" s="1">
        <v>4</v>
      </c>
      <c r="K143" s="1" t="s">
        <v>0</v>
      </c>
      <c r="L143" s="1">
        <v>2</v>
      </c>
      <c r="M143" s="1">
        <v>30</v>
      </c>
      <c r="N143" s="1">
        <v>0</v>
      </c>
      <c r="O143" s="1">
        <v>44496.501643518517</v>
      </c>
      <c r="P143" s="1">
        <v>9688037</v>
      </c>
      <c r="Q143" s="1">
        <v>18669207</v>
      </c>
      <c r="R143" s="1">
        <v>5194032</v>
      </c>
      <c r="S143" s="1">
        <v>4529145</v>
      </c>
      <c r="T143" s="1">
        <v>4494005</v>
      </c>
      <c r="U143" s="1">
        <v>14140062</v>
      </c>
      <c r="V143" s="1">
        <v>7880</v>
      </c>
      <c r="W143" s="1">
        <v>7880</v>
      </c>
      <c r="X143" s="1">
        <v>394</v>
      </c>
      <c r="Y143" s="1">
        <v>1182</v>
      </c>
      <c r="Z143" s="1">
        <v>7486</v>
      </c>
      <c r="AA143" s="1">
        <v>6698</v>
      </c>
      <c r="AB143" s="1">
        <v>534444.19999999995</v>
      </c>
      <c r="AC143" s="1">
        <v>534444</v>
      </c>
      <c r="AD143" s="1">
        <v>51655</v>
      </c>
      <c r="AE143" s="1">
        <v>51655</v>
      </c>
      <c r="AF143" s="1"/>
      <c r="AG143" s="1"/>
      <c r="AH143" s="1">
        <v>477789.2</v>
      </c>
      <c r="AI143" s="1">
        <v>477789</v>
      </c>
      <c r="AJ143" s="1"/>
      <c r="AK143" s="1"/>
      <c r="AL143" s="1">
        <v>5000</v>
      </c>
      <c r="AM143" s="1">
        <v>5000</v>
      </c>
      <c r="AN143" s="1">
        <v>7537915</v>
      </c>
      <c r="AO143" s="1">
        <v>1918</v>
      </c>
      <c r="AP143" s="1">
        <v>2844588</v>
      </c>
      <c r="AQ143" s="1"/>
      <c r="AR143" s="1"/>
      <c r="AS143" s="1"/>
      <c r="AT143" s="1"/>
      <c r="AU143" s="1"/>
      <c r="AV143" s="2">
        <v>15418438.199999999</v>
      </c>
      <c r="AW143" s="1">
        <v>14683122</v>
      </c>
      <c r="AX143" s="1">
        <v>99342502</v>
      </c>
      <c r="AY143" s="1">
        <v>139177341</v>
      </c>
      <c r="AZ143" s="1">
        <v>98136568</v>
      </c>
      <c r="BA143" s="1">
        <v>137848169</v>
      </c>
      <c r="BB143" s="1"/>
      <c r="BC143" s="1"/>
      <c r="BD143" s="1">
        <v>1072406</v>
      </c>
      <c r="BE143" s="1">
        <v>1053821</v>
      </c>
      <c r="BF143" s="1">
        <v>133528</v>
      </c>
      <c r="BG143" s="1">
        <v>275351</v>
      </c>
      <c r="BH143" s="1"/>
      <c r="BI143" s="1"/>
      <c r="BJ143" s="1"/>
      <c r="BK143" s="1"/>
      <c r="BL143" s="1">
        <v>23562190</v>
      </c>
      <c r="BM143" s="1">
        <v>27142746</v>
      </c>
      <c r="BN143" s="1"/>
      <c r="BO143" s="1"/>
      <c r="BP143" s="1">
        <v>130224</v>
      </c>
      <c r="BQ143" s="1">
        <v>760746</v>
      </c>
      <c r="BR143" s="1"/>
      <c r="BS143" s="1"/>
      <c r="BT143" s="1">
        <v>869323</v>
      </c>
      <c r="BU143" s="1">
        <v>106237</v>
      </c>
      <c r="BV143" s="1">
        <v>3657</v>
      </c>
      <c r="BW143" s="1">
        <v>3913</v>
      </c>
      <c r="BX143" s="1">
        <v>20321640</v>
      </c>
      <c r="BY143" s="1">
        <v>15948310</v>
      </c>
      <c r="BZ143" s="1">
        <v>2233586</v>
      </c>
      <c r="CA143" s="1">
        <v>10305260</v>
      </c>
      <c r="CB143" s="1"/>
      <c r="CC143" s="1"/>
      <c r="CD143" s="1"/>
      <c r="CE143" s="1"/>
      <c r="CF143" s="1"/>
      <c r="CG143" s="1"/>
      <c r="CH143" s="1">
        <v>3760</v>
      </c>
      <c r="CI143" s="1">
        <v>18280</v>
      </c>
      <c r="CJ143" s="1">
        <v>1220672</v>
      </c>
      <c r="CK143" s="1">
        <v>599717.6</v>
      </c>
      <c r="CL143" s="1">
        <v>1750</v>
      </c>
      <c r="CM143" s="1">
        <v>1751</v>
      </c>
      <c r="CN143" s="1"/>
      <c r="CO143" s="1">
        <v>14764.6</v>
      </c>
      <c r="CP143" s="1">
        <v>22982</v>
      </c>
      <c r="CQ143" s="1">
        <v>22982</v>
      </c>
      <c r="CR143" s="1">
        <v>1195940</v>
      </c>
      <c r="CS143" s="1">
        <v>560220</v>
      </c>
      <c r="CT143" s="1"/>
      <c r="CU143" s="1"/>
      <c r="CV143" s="1">
        <v>3132819</v>
      </c>
      <c r="CW143" s="1">
        <v>3132819</v>
      </c>
      <c r="CX143" s="2">
        <v>127258183</v>
      </c>
      <c r="CY143" s="1">
        <v>170052623.59999999</v>
      </c>
      <c r="CZ143" s="1">
        <v>142676621.19999999</v>
      </c>
      <c r="DA143" s="1">
        <v>184735745.59999999</v>
      </c>
      <c r="DB143" s="1">
        <v>826814</v>
      </c>
      <c r="DC143" s="1">
        <v>826814</v>
      </c>
      <c r="DD143" s="1">
        <v>29964</v>
      </c>
      <c r="DE143" s="1">
        <v>29964</v>
      </c>
      <c r="DF143" s="1">
        <v>2213190</v>
      </c>
      <c r="DG143" s="1">
        <v>1674488</v>
      </c>
      <c r="DH143" s="1"/>
      <c r="DI143" s="1"/>
      <c r="DJ143" s="1">
        <v>1847420</v>
      </c>
      <c r="DK143" s="1">
        <v>8359250</v>
      </c>
      <c r="DL143" s="24">
        <v>52500000</v>
      </c>
      <c r="DM143" s="24">
        <v>94347820</v>
      </c>
      <c r="DN143" s="1"/>
      <c r="DO143" s="1"/>
      <c r="DP143" s="2">
        <v>57417388</v>
      </c>
      <c r="DQ143" s="1">
        <v>105238336</v>
      </c>
      <c r="DR143" s="2">
        <v>7325873</v>
      </c>
      <c r="DS143" s="1">
        <v>4299538</v>
      </c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>
        <v>7325873</v>
      </c>
      <c r="EK143" s="1">
        <v>4299538</v>
      </c>
      <c r="EL143" s="1"/>
      <c r="EM143" s="1"/>
      <c r="EN143" s="1"/>
      <c r="EO143" s="1"/>
      <c r="EP143" s="2">
        <v>77933360.200000003</v>
      </c>
      <c r="EQ143" s="1">
        <v>75197871.599999994</v>
      </c>
      <c r="ER143" s="1">
        <v>18709100.199999999</v>
      </c>
      <c r="ES143" s="1">
        <v>10991676.6</v>
      </c>
      <c r="ET143" s="1"/>
      <c r="EU143" s="1"/>
      <c r="EV143" s="1">
        <v>4476734</v>
      </c>
      <c r="EW143" s="1">
        <v>1775801.5</v>
      </c>
      <c r="EX143" s="1">
        <v>0</v>
      </c>
      <c r="EY143" s="1"/>
      <c r="EZ143" s="1">
        <v>12247510</v>
      </c>
      <c r="FA143" s="1">
        <v>6269903.5</v>
      </c>
      <c r="FB143" s="1"/>
      <c r="FC143" s="1"/>
      <c r="FD143" s="1"/>
      <c r="FE143" s="1"/>
      <c r="FF143" s="1"/>
      <c r="FG143" s="1"/>
      <c r="FH143" s="1">
        <v>118959.5</v>
      </c>
      <c r="FI143" s="1">
        <v>333703</v>
      </c>
      <c r="FJ143" s="1">
        <v>464732</v>
      </c>
      <c r="FK143" s="1">
        <v>1558721.5</v>
      </c>
      <c r="FL143" s="1"/>
      <c r="FM143" s="1"/>
      <c r="FN143" s="1">
        <v>875979</v>
      </c>
      <c r="FO143" s="1"/>
      <c r="FP143" s="1">
        <v>55824.7</v>
      </c>
      <c r="FQ143" s="1">
        <v>276924.5</v>
      </c>
      <c r="FR143" s="1">
        <v>385916</v>
      </c>
      <c r="FS143" s="1">
        <v>693860</v>
      </c>
      <c r="FT143" s="1"/>
      <c r="FU143" s="1"/>
      <c r="FV143" s="1">
        <v>59224260</v>
      </c>
      <c r="FW143" s="1">
        <v>64206195</v>
      </c>
      <c r="FX143" s="1"/>
      <c r="FY143" s="1"/>
      <c r="FZ143" s="1">
        <v>83445</v>
      </c>
      <c r="GA143" s="1">
        <v>82762.600000000006</v>
      </c>
      <c r="GB143" s="1">
        <v>85259233.200000003</v>
      </c>
      <c r="GC143" s="1">
        <v>79497409.599999994</v>
      </c>
      <c r="GD143" s="1">
        <v>142676621.19999999</v>
      </c>
      <c r="GE143" s="1">
        <v>184735745.59999999</v>
      </c>
    </row>
    <row r="144" spans="1:188" s="3" customFormat="1" ht="12" x14ac:dyDescent="0.2">
      <c r="A144" s="1">
        <v>20006</v>
      </c>
      <c r="B144" s="1">
        <v>0</v>
      </c>
      <c r="C144" s="1">
        <v>201818683</v>
      </c>
      <c r="D144" s="1" t="s">
        <v>151</v>
      </c>
      <c r="E144" s="1">
        <v>18</v>
      </c>
      <c r="F144" s="1">
        <v>18</v>
      </c>
      <c r="G144" s="1">
        <v>0</v>
      </c>
      <c r="H144" s="1">
        <v>1</v>
      </c>
      <c r="I144" s="1">
        <v>2019</v>
      </c>
      <c r="J144" s="1">
        <v>4</v>
      </c>
      <c r="K144" s="1" t="s">
        <v>0</v>
      </c>
      <c r="L144" s="1">
        <v>2</v>
      </c>
      <c r="M144" s="1">
        <v>30</v>
      </c>
      <c r="N144" s="1">
        <v>0</v>
      </c>
      <c r="O144" s="1">
        <v>43958.592557870368</v>
      </c>
      <c r="P144" s="1">
        <v>11427013</v>
      </c>
      <c r="Q144" s="1">
        <v>9182757</v>
      </c>
      <c r="R144" s="1">
        <v>5339091</v>
      </c>
      <c r="S144" s="1">
        <v>4944662</v>
      </c>
      <c r="T144" s="1">
        <v>6087922</v>
      </c>
      <c r="U144" s="1">
        <v>4238095</v>
      </c>
      <c r="V144" s="1">
        <v>7880</v>
      </c>
      <c r="W144" s="1">
        <v>7880</v>
      </c>
      <c r="X144" s="1">
        <v>0</v>
      </c>
      <c r="Y144" s="1">
        <v>394</v>
      </c>
      <c r="Z144" s="1">
        <v>7880</v>
      </c>
      <c r="AA144" s="1">
        <v>7486</v>
      </c>
      <c r="AB144" s="1">
        <v>494444</v>
      </c>
      <c r="AC144" s="1">
        <v>534444</v>
      </c>
      <c r="AD144" s="1">
        <v>51655</v>
      </c>
      <c r="AE144" s="1">
        <v>51655</v>
      </c>
      <c r="AF144" s="1">
        <v>0</v>
      </c>
      <c r="AG144" s="1">
        <v>0</v>
      </c>
      <c r="AH144" s="1">
        <v>437789</v>
      </c>
      <c r="AI144" s="1">
        <v>477789</v>
      </c>
      <c r="AJ144" s="1">
        <v>0</v>
      </c>
      <c r="AK144" s="1">
        <v>0</v>
      </c>
      <c r="AL144" s="1">
        <v>5000</v>
      </c>
      <c r="AM144" s="1">
        <v>5000</v>
      </c>
      <c r="AN144" s="1">
        <v>8140</v>
      </c>
      <c r="AO144" s="1">
        <v>7537915</v>
      </c>
      <c r="AP144" s="1">
        <v>3650</v>
      </c>
      <c r="AQ144" s="1">
        <v>2844588</v>
      </c>
      <c r="AR144" s="1">
        <v>0</v>
      </c>
      <c r="AS144" s="1">
        <v>0</v>
      </c>
      <c r="AT144" s="1">
        <v>0</v>
      </c>
      <c r="AU144" s="1">
        <v>0</v>
      </c>
      <c r="AV144" s="2">
        <v>6602036</v>
      </c>
      <c r="AW144" s="1">
        <v>15162528</v>
      </c>
      <c r="AX144" s="1">
        <v>75599792</v>
      </c>
      <c r="AY144" s="1">
        <v>99342502</v>
      </c>
      <c r="AZ144" s="1">
        <v>74354857</v>
      </c>
      <c r="BA144" s="1">
        <v>98136568</v>
      </c>
      <c r="BB144" s="1">
        <v>0</v>
      </c>
      <c r="BC144" s="1">
        <v>0</v>
      </c>
      <c r="BD144" s="1">
        <v>1113645</v>
      </c>
      <c r="BE144" s="1">
        <v>1072406</v>
      </c>
      <c r="BF144" s="1">
        <v>131290</v>
      </c>
      <c r="BG144" s="1">
        <v>133528</v>
      </c>
      <c r="BH144" s="1">
        <v>0</v>
      </c>
      <c r="BI144" s="1">
        <v>0</v>
      </c>
      <c r="BJ144" s="1">
        <v>0</v>
      </c>
      <c r="BK144" s="1">
        <v>0</v>
      </c>
      <c r="BL144" s="1">
        <v>20613188</v>
      </c>
      <c r="BM144" s="1">
        <v>23562190</v>
      </c>
      <c r="BN144" s="1">
        <v>0</v>
      </c>
      <c r="BO144" s="1">
        <v>0</v>
      </c>
      <c r="BP144" s="1">
        <v>223175</v>
      </c>
      <c r="BQ144" s="1">
        <v>130224</v>
      </c>
      <c r="BR144" s="1">
        <v>0</v>
      </c>
      <c r="BS144" s="1">
        <v>0</v>
      </c>
      <c r="BT144" s="1">
        <v>4618008</v>
      </c>
      <c r="BU144" s="1">
        <v>869323</v>
      </c>
      <c r="BV144" s="1">
        <v>0</v>
      </c>
      <c r="BW144" s="1">
        <v>3657</v>
      </c>
      <c r="BX144" s="1">
        <v>14871283</v>
      </c>
      <c r="BY144" s="1">
        <v>20321640</v>
      </c>
      <c r="BZ144" s="1">
        <v>769724</v>
      </c>
      <c r="CA144" s="1">
        <v>2233586</v>
      </c>
      <c r="CB144" s="1">
        <v>124981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6017</v>
      </c>
      <c r="CI144" s="1">
        <v>3760</v>
      </c>
      <c r="CJ144" s="1">
        <v>962876</v>
      </c>
      <c r="CK144" s="1">
        <v>1220672</v>
      </c>
      <c r="CL144" s="1">
        <v>0</v>
      </c>
      <c r="CM144" s="1">
        <v>1750</v>
      </c>
      <c r="CN144" s="1">
        <v>239</v>
      </c>
      <c r="CO144" s="1">
        <v>0</v>
      </c>
      <c r="CP144" s="1">
        <v>397552</v>
      </c>
      <c r="CQ144" s="1">
        <v>22982</v>
      </c>
      <c r="CR144" s="1">
        <v>565085</v>
      </c>
      <c r="CS144" s="1">
        <v>1195940</v>
      </c>
      <c r="CT144" s="1">
        <v>0</v>
      </c>
      <c r="CU144" s="1">
        <v>0</v>
      </c>
      <c r="CV144" s="1">
        <v>3710798</v>
      </c>
      <c r="CW144" s="1">
        <v>3132819</v>
      </c>
      <c r="CX144" s="2">
        <v>100886654</v>
      </c>
      <c r="CY144" s="1">
        <v>127258183</v>
      </c>
      <c r="CZ144" s="1">
        <v>107488690</v>
      </c>
      <c r="DA144" s="1">
        <v>142420711</v>
      </c>
      <c r="DB144" s="1">
        <v>826814</v>
      </c>
      <c r="DC144" s="1">
        <v>826814</v>
      </c>
      <c r="DD144" s="1">
        <v>29964</v>
      </c>
      <c r="DE144" s="1">
        <v>29964</v>
      </c>
      <c r="DF144" s="1">
        <v>2199926</v>
      </c>
      <c r="DG144" s="1">
        <v>1957280</v>
      </c>
      <c r="DH144" s="1">
        <v>0</v>
      </c>
      <c r="DI144" s="1">
        <v>0</v>
      </c>
      <c r="DJ144" s="1">
        <v>-1821975</v>
      </c>
      <c r="DK144" s="1">
        <v>1847420</v>
      </c>
      <c r="DL144" s="24">
        <v>45000000</v>
      </c>
      <c r="DM144" s="24">
        <v>52500000</v>
      </c>
      <c r="DN144" s="1">
        <v>0</v>
      </c>
      <c r="DO144" s="1">
        <v>0</v>
      </c>
      <c r="DP144" s="2">
        <v>46234729</v>
      </c>
      <c r="DQ144" s="1">
        <v>57161478</v>
      </c>
      <c r="DR144" s="2">
        <v>0</v>
      </c>
      <c r="DS144" s="1">
        <v>7325874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7325874</v>
      </c>
      <c r="EL144" s="1">
        <v>0</v>
      </c>
      <c r="EM144" s="1">
        <v>0</v>
      </c>
      <c r="EN144" s="1">
        <v>0</v>
      </c>
      <c r="EO144" s="1">
        <v>0</v>
      </c>
      <c r="EP144" s="2">
        <v>61253961</v>
      </c>
      <c r="EQ144" s="1">
        <v>77933359</v>
      </c>
      <c r="ER144" s="1">
        <v>16896038</v>
      </c>
      <c r="ES144" s="1">
        <v>18709099</v>
      </c>
      <c r="ET144" s="1">
        <v>0</v>
      </c>
      <c r="EU144" s="1">
        <v>0</v>
      </c>
      <c r="EV144" s="1">
        <v>4276096</v>
      </c>
      <c r="EW144" s="1">
        <v>4476734</v>
      </c>
      <c r="EX144" s="1">
        <v>0</v>
      </c>
      <c r="EY144" s="1">
        <v>0</v>
      </c>
      <c r="EZ144" s="1">
        <v>8371009</v>
      </c>
      <c r="FA144" s="1">
        <v>12247510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70355</v>
      </c>
      <c r="FI144" s="1">
        <v>118959</v>
      </c>
      <c r="FJ144" s="1">
        <v>2354800</v>
      </c>
      <c r="FK144" s="1">
        <v>464732</v>
      </c>
      <c r="FL144" s="1">
        <v>0</v>
      </c>
      <c r="FM144" s="1">
        <v>0</v>
      </c>
      <c r="FN144" s="1">
        <v>1461995</v>
      </c>
      <c r="FO144" s="1">
        <v>875979</v>
      </c>
      <c r="FP144" s="1">
        <v>97077</v>
      </c>
      <c r="FQ144" s="1">
        <v>55824</v>
      </c>
      <c r="FR144" s="1">
        <v>227469</v>
      </c>
      <c r="FS144" s="1">
        <v>385916</v>
      </c>
      <c r="FT144" s="1">
        <v>0</v>
      </c>
      <c r="FU144" s="1">
        <v>0</v>
      </c>
      <c r="FV144" s="1">
        <v>44357923</v>
      </c>
      <c r="FW144" s="1">
        <v>59224260</v>
      </c>
      <c r="FX144" s="1">
        <v>0</v>
      </c>
      <c r="FY144" s="1">
        <v>0</v>
      </c>
      <c r="FZ144" s="1">
        <v>37237</v>
      </c>
      <c r="GA144" s="1">
        <v>83445</v>
      </c>
      <c r="GB144" s="1">
        <v>61253961</v>
      </c>
      <c r="GC144" s="1">
        <v>85259233</v>
      </c>
      <c r="GD144" s="1">
        <v>107488690</v>
      </c>
      <c r="GE144" s="1">
        <v>142420711</v>
      </c>
    </row>
    <row r="145" spans="1:188" s="3" customFormat="1" x14ac:dyDescent="0.25">
      <c r="A145" s="1">
        <v>20006</v>
      </c>
      <c r="B145" s="1">
        <v>0</v>
      </c>
      <c r="C145" s="3">
        <v>201818683</v>
      </c>
      <c r="D145" s="3" t="s">
        <v>151</v>
      </c>
      <c r="E145" s="4">
        <v>18</v>
      </c>
      <c r="F145" s="4">
        <v>18</v>
      </c>
      <c r="G145" s="4">
        <v>0</v>
      </c>
      <c r="H145" s="4">
        <v>1</v>
      </c>
      <c r="I145" s="1">
        <v>2018</v>
      </c>
      <c r="J145" s="1">
        <v>4</v>
      </c>
      <c r="K145" s="3" t="s">
        <v>0</v>
      </c>
      <c r="L145" s="1">
        <v>2</v>
      </c>
      <c r="M145" s="1">
        <v>30</v>
      </c>
      <c r="N145" s="5">
        <v>0</v>
      </c>
      <c r="O145" s="6">
        <v>43537.823854166665</v>
      </c>
      <c r="P145" s="1">
        <v>7158230</v>
      </c>
      <c r="Q145" s="1">
        <v>10920583</v>
      </c>
      <c r="R145" s="1">
        <v>4789633</v>
      </c>
      <c r="S145" s="1">
        <v>5129925</v>
      </c>
      <c r="T145" s="1">
        <v>2368597</v>
      </c>
      <c r="U145" s="1">
        <v>5790658</v>
      </c>
      <c r="V145" s="1"/>
      <c r="W145" s="1">
        <v>7880</v>
      </c>
      <c r="X145" s="1"/>
      <c r="Y145" s="1"/>
      <c r="Z145" s="1"/>
      <c r="AA145" s="1">
        <v>7880</v>
      </c>
      <c r="AB145" s="1">
        <v>340560</v>
      </c>
      <c r="AC145" s="1">
        <v>494444</v>
      </c>
      <c r="AD145" s="1">
        <v>51655</v>
      </c>
      <c r="AE145" s="1">
        <v>51655</v>
      </c>
      <c r="AF145" s="1"/>
      <c r="AG145" s="1"/>
      <c r="AH145" s="1">
        <v>283905</v>
      </c>
      <c r="AI145" s="1">
        <v>437789</v>
      </c>
      <c r="AJ145" s="1"/>
      <c r="AK145" s="1"/>
      <c r="AL145" s="1">
        <v>5000</v>
      </c>
      <c r="AM145" s="1">
        <v>5000</v>
      </c>
      <c r="AN145" s="1">
        <v>89756</v>
      </c>
      <c r="AO145" s="1">
        <v>8140</v>
      </c>
      <c r="AP145" s="1">
        <v>67513</v>
      </c>
      <c r="AQ145" s="1">
        <v>3650</v>
      </c>
      <c r="AR145" s="1">
        <v>145271</v>
      </c>
      <c r="AS145" s="1"/>
      <c r="AT145" s="1"/>
      <c r="AU145" s="1"/>
      <c r="AV145" s="2">
        <v>3011697</v>
      </c>
      <c r="AW145" s="1">
        <v>6304772</v>
      </c>
      <c r="AX145" s="1">
        <v>60886138</v>
      </c>
      <c r="AY145" s="1">
        <v>75599792</v>
      </c>
      <c r="AZ145" s="1">
        <v>60425816</v>
      </c>
      <c r="BA145" s="1">
        <v>74354857</v>
      </c>
      <c r="BB145" s="1"/>
      <c r="BC145" s="1"/>
      <c r="BD145" s="1">
        <v>264343</v>
      </c>
      <c r="BE145" s="1">
        <v>1113645</v>
      </c>
      <c r="BF145" s="1">
        <v>195979</v>
      </c>
      <c r="BG145" s="1">
        <v>131290</v>
      </c>
      <c r="BH145" s="1"/>
      <c r="BI145" s="1"/>
      <c r="BJ145" s="1"/>
      <c r="BK145" s="1"/>
      <c r="BL145" s="1">
        <v>24285566</v>
      </c>
      <c r="BM145" s="1">
        <v>20613188</v>
      </c>
      <c r="BN145" s="1"/>
      <c r="BO145" s="1"/>
      <c r="BP145" s="1">
        <v>270970</v>
      </c>
      <c r="BQ145" s="1">
        <v>223175</v>
      </c>
      <c r="BR145" s="1"/>
      <c r="BS145" s="1"/>
      <c r="BT145" s="1">
        <v>8469323</v>
      </c>
      <c r="BU145" s="1">
        <v>4618008</v>
      </c>
      <c r="BV145" s="1">
        <v>4662</v>
      </c>
      <c r="BW145" s="1"/>
      <c r="BX145" s="1">
        <v>15427928</v>
      </c>
      <c r="BY145" s="1">
        <v>14871283</v>
      </c>
      <c r="BZ145" s="1">
        <v>5648</v>
      </c>
      <c r="CA145" s="1">
        <v>769724</v>
      </c>
      <c r="CB145" s="1">
        <v>104841</v>
      </c>
      <c r="CC145" s="1">
        <v>124981</v>
      </c>
      <c r="CD145" s="1"/>
      <c r="CE145" s="1"/>
      <c r="CF145" s="1"/>
      <c r="CG145" s="1"/>
      <c r="CH145" s="1">
        <v>2194</v>
      </c>
      <c r="CI145" s="1">
        <v>6017</v>
      </c>
      <c r="CJ145" s="1">
        <v>3611089</v>
      </c>
      <c r="CK145" s="1">
        <v>962876</v>
      </c>
      <c r="CL145" s="1"/>
      <c r="CM145" s="1"/>
      <c r="CN145" s="1">
        <v>39230</v>
      </c>
      <c r="CO145" s="1">
        <v>239</v>
      </c>
      <c r="CP145" s="1">
        <v>3017853</v>
      </c>
      <c r="CQ145" s="1">
        <v>397552</v>
      </c>
      <c r="CR145" s="1">
        <v>554006</v>
      </c>
      <c r="CS145" s="1">
        <v>565085</v>
      </c>
      <c r="CT145" s="1"/>
      <c r="CU145" s="1"/>
      <c r="CV145" s="1">
        <v>3565527</v>
      </c>
      <c r="CW145" s="1">
        <v>3710798</v>
      </c>
      <c r="CX145" s="2">
        <v>92348320</v>
      </c>
      <c r="CY145" s="1">
        <v>100886654</v>
      </c>
      <c r="CZ145" s="1">
        <v>95360017</v>
      </c>
      <c r="DA145" s="1">
        <v>107191426</v>
      </c>
      <c r="DB145" s="1">
        <v>826814</v>
      </c>
      <c r="DC145" s="1">
        <v>826814</v>
      </c>
      <c r="DD145" s="1">
        <v>29964</v>
      </c>
      <c r="DE145" s="1">
        <v>29964</v>
      </c>
      <c r="DF145" s="1">
        <v>1932060</v>
      </c>
      <c r="DG145" s="1">
        <v>1902662</v>
      </c>
      <c r="DH145" s="1"/>
      <c r="DI145" s="1"/>
      <c r="DJ145" s="1">
        <v>-1893589</v>
      </c>
      <c r="DK145" s="1">
        <v>-1821975</v>
      </c>
      <c r="DL145" s="24">
        <v>41250000</v>
      </c>
      <c r="DM145" s="24">
        <v>45000000</v>
      </c>
      <c r="DN145" s="1"/>
      <c r="DO145" s="1"/>
      <c r="DP145" s="2">
        <v>42145249</v>
      </c>
      <c r="DQ145" s="1">
        <v>45937465</v>
      </c>
      <c r="DR145" s="2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2">
        <v>53214768</v>
      </c>
      <c r="EQ145" s="1">
        <v>61253961</v>
      </c>
      <c r="ER145" s="1">
        <v>9777756</v>
      </c>
      <c r="ES145" s="1">
        <v>16896038</v>
      </c>
      <c r="ET145" s="1"/>
      <c r="EU145" s="1"/>
      <c r="EV145" s="1">
        <v>1651283</v>
      </c>
      <c r="EW145" s="1">
        <v>4276096</v>
      </c>
      <c r="EX145" s="1"/>
      <c r="EY145" s="1"/>
      <c r="EZ145" s="1">
        <v>2080695</v>
      </c>
      <c r="FA145" s="1">
        <v>8371009</v>
      </c>
      <c r="FB145" s="1"/>
      <c r="FC145" s="1"/>
      <c r="FD145" s="1">
        <v>617939</v>
      </c>
      <c r="FE145" s="1"/>
      <c r="FF145" s="1"/>
      <c r="FG145" s="1"/>
      <c r="FH145" s="1">
        <v>79891</v>
      </c>
      <c r="FI145" s="1">
        <v>70355</v>
      </c>
      <c r="FJ145" s="1">
        <v>1086089</v>
      </c>
      <c r="FK145" s="1">
        <v>2354800</v>
      </c>
      <c r="FL145" s="1"/>
      <c r="FM145" s="1">
        <v>1461995</v>
      </c>
      <c r="FN145" s="1">
        <v>3173415</v>
      </c>
      <c r="FO145" s="1"/>
      <c r="FP145" s="1">
        <v>120248</v>
      </c>
      <c r="FQ145" s="1">
        <v>97077</v>
      </c>
      <c r="FR145" s="1">
        <v>259907</v>
      </c>
      <c r="FS145" s="1">
        <v>227469</v>
      </c>
      <c r="FT145" s="1"/>
      <c r="FU145" s="1"/>
      <c r="FV145" s="1">
        <v>43437012</v>
      </c>
      <c r="FW145" s="1">
        <v>44357923</v>
      </c>
      <c r="FX145" s="1"/>
      <c r="FY145" s="1"/>
      <c r="FZ145" s="1">
        <v>708289</v>
      </c>
      <c r="GA145" s="1">
        <v>37237</v>
      </c>
      <c r="GB145" s="1">
        <v>53214768</v>
      </c>
      <c r="GC145" s="1">
        <v>61253961</v>
      </c>
      <c r="GD145" s="1">
        <v>95360017</v>
      </c>
      <c r="GE145" s="1">
        <v>107191426</v>
      </c>
      <c r="GF145" s="14">
        <f t="shared" ref="GF145" si="4">GE145-DA145</f>
        <v>0</v>
      </c>
    </row>
    <row r="146" spans="1:188" s="3" customFormat="1" ht="12" x14ac:dyDescent="0.2">
      <c r="A146" s="1">
        <v>20006</v>
      </c>
      <c r="B146" s="1">
        <v>0</v>
      </c>
      <c r="C146" s="1">
        <v>203422471</v>
      </c>
      <c r="D146" s="1" t="s">
        <v>152</v>
      </c>
      <c r="E146" s="1">
        <v>18</v>
      </c>
      <c r="F146" s="1">
        <v>11</v>
      </c>
      <c r="G146" s="1">
        <v>0</v>
      </c>
      <c r="H146" s="1">
        <v>1</v>
      </c>
      <c r="I146" s="1">
        <v>2021</v>
      </c>
      <c r="J146" s="1">
        <v>4</v>
      </c>
      <c r="K146" s="1" t="s">
        <v>0</v>
      </c>
      <c r="L146" s="1">
        <v>2</v>
      </c>
      <c r="M146" s="1">
        <v>30</v>
      </c>
      <c r="N146" s="1">
        <v>0</v>
      </c>
      <c r="O146" s="1">
        <v>44718.951886574076</v>
      </c>
      <c r="P146" s="1">
        <v>10583134</v>
      </c>
      <c r="Q146" s="1">
        <v>12789020.609999999</v>
      </c>
      <c r="R146" s="1">
        <v>1860730.86</v>
      </c>
      <c r="S146" s="1">
        <v>2775567.29</v>
      </c>
      <c r="T146" s="1">
        <v>8722403.1400000006</v>
      </c>
      <c r="U146" s="1">
        <v>10013453.32</v>
      </c>
      <c r="V146" s="1"/>
      <c r="W146" s="1"/>
      <c r="X146" s="1"/>
      <c r="Y146" s="1"/>
      <c r="Z146" s="1"/>
      <c r="AA146" s="1"/>
      <c r="AB146" s="1">
        <v>124046.6</v>
      </c>
      <c r="AC146" s="1">
        <v>124046.6</v>
      </c>
      <c r="AD146" s="1">
        <v>16331.6</v>
      </c>
      <c r="AE146" s="1">
        <v>16331.6</v>
      </c>
      <c r="AF146" s="1">
        <v>107715</v>
      </c>
      <c r="AG146" s="1">
        <v>107715</v>
      </c>
      <c r="AH146" s="1"/>
      <c r="AI146" s="1"/>
      <c r="AJ146" s="1"/>
      <c r="AK146" s="1"/>
      <c r="AL146" s="1"/>
      <c r="AM146" s="1"/>
      <c r="AN146" s="1"/>
      <c r="AO146" s="1"/>
      <c r="AP146" s="1">
        <v>2197191.38</v>
      </c>
      <c r="AQ146" s="1"/>
      <c r="AR146" s="1"/>
      <c r="AS146" s="1"/>
      <c r="AT146" s="1"/>
      <c r="AU146" s="1"/>
      <c r="AV146" s="2">
        <v>11043641.119999999</v>
      </c>
      <c r="AW146" s="1">
        <v>10137499.92</v>
      </c>
      <c r="AX146" s="1">
        <v>10015462.140000001</v>
      </c>
      <c r="AY146" s="1">
        <v>9355586.2300000004</v>
      </c>
      <c r="AZ146" s="1">
        <v>1948260.16</v>
      </c>
      <c r="BA146" s="1">
        <v>1275340.93</v>
      </c>
      <c r="BB146" s="1">
        <v>23800.84</v>
      </c>
      <c r="BC146" s="1">
        <v>657710.06999999995</v>
      </c>
      <c r="BD146" s="1">
        <v>8036182.9699999997</v>
      </c>
      <c r="BE146" s="1">
        <v>7422535.2300000004</v>
      </c>
      <c r="BF146" s="1">
        <v>7218.17</v>
      </c>
      <c r="BG146" s="1"/>
      <c r="BH146" s="1">
        <v>213773.76</v>
      </c>
      <c r="BI146" s="1"/>
      <c r="BJ146" s="1"/>
      <c r="BK146" s="1"/>
      <c r="BL146" s="1">
        <v>19247440.27</v>
      </c>
      <c r="BM146" s="1">
        <v>9844748.4100000001</v>
      </c>
      <c r="BN146" s="1"/>
      <c r="BO146" s="1"/>
      <c r="BP146" s="1">
        <v>4935317.08</v>
      </c>
      <c r="BQ146" s="1">
        <v>558692.61</v>
      </c>
      <c r="BR146" s="1"/>
      <c r="BS146" s="1"/>
      <c r="BT146" s="1"/>
      <c r="BU146" s="1"/>
      <c r="BV146" s="1">
        <v>6417</v>
      </c>
      <c r="BW146" s="1"/>
      <c r="BX146" s="1">
        <v>3664203.14</v>
      </c>
      <c r="BY146" s="1">
        <v>681312.6</v>
      </c>
      <c r="BZ146" s="1">
        <v>653589.87</v>
      </c>
      <c r="CA146" s="1">
        <v>952577.44</v>
      </c>
      <c r="CB146" s="1">
        <v>42955.83</v>
      </c>
      <c r="CC146" s="1">
        <v>17588.22</v>
      </c>
      <c r="CD146" s="1"/>
      <c r="CE146" s="1"/>
      <c r="CF146" s="1">
        <v>27654.74</v>
      </c>
      <c r="CG146" s="1">
        <v>19631.689999999999</v>
      </c>
      <c r="CH146" s="1">
        <v>9917302.6099999994</v>
      </c>
      <c r="CI146" s="1">
        <v>7614945.8499999996</v>
      </c>
      <c r="CJ146" s="1">
        <v>46798.97</v>
      </c>
      <c r="CK146" s="1">
        <v>147.53</v>
      </c>
      <c r="CL146" s="1"/>
      <c r="CM146" s="1"/>
      <c r="CN146" s="1">
        <v>602.63</v>
      </c>
      <c r="CO146" s="1">
        <v>145.36000000000001</v>
      </c>
      <c r="CP146" s="1">
        <v>46196.34</v>
      </c>
      <c r="CQ146" s="1">
        <v>2.17</v>
      </c>
      <c r="CR146" s="1"/>
      <c r="CS146" s="1"/>
      <c r="CT146" s="1">
        <v>1425203.17</v>
      </c>
      <c r="CU146" s="1">
        <v>71247.679999999993</v>
      </c>
      <c r="CV146" s="1"/>
      <c r="CW146" s="1"/>
      <c r="CX146" s="2">
        <v>30948678.309999999</v>
      </c>
      <c r="CY146" s="1">
        <v>19271729.850000001</v>
      </c>
      <c r="CZ146" s="1">
        <v>41992319.43</v>
      </c>
      <c r="DA146" s="1">
        <v>29409229.77</v>
      </c>
      <c r="DB146" s="1">
        <v>692947.63</v>
      </c>
      <c r="DC146" s="1">
        <v>692947.63</v>
      </c>
      <c r="DD146" s="1">
        <v>347359.71</v>
      </c>
      <c r="DE146" s="1">
        <v>347359.71</v>
      </c>
      <c r="DF146" s="1">
        <v>7983881.8600000003</v>
      </c>
      <c r="DG146" s="1">
        <v>7728200.0199999996</v>
      </c>
      <c r="DH146" s="1"/>
      <c r="DI146" s="1"/>
      <c r="DJ146" s="1">
        <v>96057</v>
      </c>
      <c r="DK146" s="1">
        <v>20476.490000000002</v>
      </c>
      <c r="DL146" s="24"/>
      <c r="DM146" s="24"/>
      <c r="DN146" s="1"/>
      <c r="DO146" s="1"/>
      <c r="DP146" s="2">
        <v>9120246.1999999993</v>
      </c>
      <c r="DQ146" s="1">
        <v>8788983.8499999996</v>
      </c>
      <c r="DR146" s="2">
        <v>9363735.8399999999</v>
      </c>
      <c r="DS146" s="1">
        <v>8771570.5</v>
      </c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>
        <v>9363735.8399999999</v>
      </c>
      <c r="EK146" s="1">
        <v>8771570.5</v>
      </c>
      <c r="EL146" s="1"/>
      <c r="EM146" s="1"/>
      <c r="EN146" s="1"/>
      <c r="EO146" s="1"/>
      <c r="EP146" s="2">
        <v>23508337.390000001</v>
      </c>
      <c r="EQ146" s="1">
        <v>11848675.42</v>
      </c>
      <c r="ER146" s="1">
        <v>13137341.74</v>
      </c>
      <c r="ES146" s="1">
        <v>7159706.21</v>
      </c>
      <c r="ET146" s="1"/>
      <c r="EU146" s="1"/>
      <c r="EV146" s="1">
        <v>5131596.68</v>
      </c>
      <c r="EW146" s="1">
        <v>453636.64</v>
      </c>
      <c r="EX146" s="1"/>
      <c r="EY146" s="1"/>
      <c r="EZ146" s="1">
        <v>231</v>
      </c>
      <c r="FA146" s="1"/>
      <c r="FB146" s="1"/>
      <c r="FC146" s="1"/>
      <c r="FD146" s="1"/>
      <c r="FE146" s="1"/>
      <c r="FF146" s="1"/>
      <c r="FG146" s="1"/>
      <c r="FH146" s="1">
        <v>5892128.7300000004</v>
      </c>
      <c r="FI146" s="1">
        <v>3216914.19</v>
      </c>
      <c r="FJ146" s="1">
        <v>77877.149999999994</v>
      </c>
      <c r="FK146" s="1">
        <v>131386.03</v>
      </c>
      <c r="FL146" s="1"/>
      <c r="FM146" s="1"/>
      <c r="FN146" s="1">
        <v>2227</v>
      </c>
      <c r="FO146" s="1">
        <v>4593.12</v>
      </c>
      <c r="FP146" s="1">
        <v>172397.15</v>
      </c>
      <c r="FQ146" s="1">
        <v>169532.39</v>
      </c>
      <c r="FR146" s="1">
        <v>45805</v>
      </c>
      <c r="FS146" s="1">
        <v>41954.81</v>
      </c>
      <c r="FT146" s="1">
        <v>10297685.65</v>
      </c>
      <c r="FU146" s="1">
        <v>4688969.21</v>
      </c>
      <c r="FV146" s="1">
        <v>73310</v>
      </c>
      <c r="FW146" s="1"/>
      <c r="FX146" s="1"/>
      <c r="FY146" s="1"/>
      <c r="FZ146" s="1">
        <v>1815079.03</v>
      </c>
      <c r="GA146" s="1">
        <v>3141689.03</v>
      </c>
      <c r="GB146" s="1">
        <v>32872073.23</v>
      </c>
      <c r="GC146" s="1">
        <v>20620245.920000002</v>
      </c>
      <c r="GD146" s="1">
        <v>41992319.43</v>
      </c>
      <c r="GE146" s="1">
        <v>29409229.77</v>
      </c>
    </row>
    <row r="147" spans="1:188" s="3" customFormat="1" ht="12" x14ac:dyDescent="0.2">
      <c r="A147" s="1">
        <v>20006</v>
      </c>
      <c r="B147" s="1">
        <v>0</v>
      </c>
      <c r="C147" s="1">
        <v>203422471</v>
      </c>
      <c r="D147" s="1" t="s">
        <v>152</v>
      </c>
      <c r="E147" s="1">
        <v>18</v>
      </c>
      <c r="F147" s="1">
        <v>11</v>
      </c>
      <c r="G147" s="1">
        <v>0</v>
      </c>
      <c r="H147" s="1">
        <v>1</v>
      </c>
      <c r="I147" s="1">
        <v>2020</v>
      </c>
      <c r="J147" s="1">
        <v>4</v>
      </c>
      <c r="K147" s="1" t="s">
        <v>0</v>
      </c>
      <c r="L147" s="1">
        <v>2</v>
      </c>
      <c r="M147" s="1">
        <v>30</v>
      </c>
      <c r="N147" s="1">
        <v>0</v>
      </c>
      <c r="O147" s="1">
        <v>44718.95144675926</v>
      </c>
      <c r="P147" s="1">
        <v>1231072</v>
      </c>
      <c r="Q147" s="1">
        <v>10583134</v>
      </c>
      <c r="R147" s="1">
        <v>883226.81</v>
      </c>
      <c r="S147" s="1">
        <v>1860730.86</v>
      </c>
      <c r="T147" s="1">
        <v>347845.19</v>
      </c>
      <c r="U147" s="1">
        <v>8722403.1400000006</v>
      </c>
      <c r="V147" s="1"/>
      <c r="W147" s="1"/>
      <c r="X147" s="1"/>
      <c r="Y147" s="1"/>
      <c r="Z147" s="1"/>
      <c r="AA147" s="1"/>
      <c r="AB147" s="1">
        <v>124046.6</v>
      </c>
      <c r="AC147" s="1">
        <v>124046.6</v>
      </c>
      <c r="AD147" s="1">
        <v>16331.6</v>
      </c>
      <c r="AE147" s="1">
        <v>16331.6</v>
      </c>
      <c r="AF147" s="1">
        <v>107715</v>
      </c>
      <c r="AG147" s="1">
        <v>107715</v>
      </c>
      <c r="AH147" s="1"/>
      <c r="AI147" s="1"/>
      <c r="AJ147" s="1"/>
      <c r="AK147" s="1"/>
      <c r="AL147" s="1"/>
      <c r="AM147" s="1"/>
      <c r="AN147" s="1"/>
      <c r="AO147" s="1"/>
      <c r="AP147" s="1">
        <v>10108240.529999999</v>
      </c>
      <c r="AQ147" s="1">
        <v>2197191.38</v>
      </c>
      <c r="AR147" s="1"/>
      <c r="AS147" s="1"/>
      <c r="AT147" s="1"/>
      <c r="AU147" s="1"/>
      <c r="AV147" s="2">
        <v>10580132.32</v>
      </c>
      <c r="AW147" s="1">
        <v>11043641.119999999</v>
      </c>
      <c r="AX147" s="1">
        <v>5762949.7199999997</v>
      </c>
      <c r="AY147" s="1">
        <v>10015462.140000001</v>
      </c>
      <c r="AZ147" s="1">
        <v>1278413</v>
      </c>
      <c r="BA147" s="1">
        <v>1948260.16</v>
      </c>
      <c r="BB147" s="1">
        <v>3745</v>
      </c>
      <c r="BC147" s="1">
        <v>23800.84</v>
      </c>
      <c r="BD147" s="1">
        <v>4470093.72</v>
      </c>
      <c r="BE147" s="1">
        <v>8036182.9699999997</v>
      </c>
      <c r="BF147" s="1">
        <v>10698</v>
      </c>
      <c r="BG147" s="1">
        <v>7218.17</v>
      </c>
      <c r="BH147" s="1"/>
      <c r="BI147" s="1">
        <v>213773.76</v>
      </c>
      <c r="BJ147" s="1"/>
      <c r="BK147" s="1"/>
      <c r="BL147" s="1">
        <v>15173667.880000001</v>
      </c>
      <c r="BM147" s="1">
        <v>19247440.27</v>
      </c>
      <c r="BN147" s="1"/>
      <c r="BO147" s="1"/>
      <c r="BP147" s="1">
        <v>4047913.4</v>
      </c>
      <c r="BQ147" s="1">
        <v>4935317.08</v>
      </c>
      <c r="BR147" s="1"/>
      <c r="BS147" s="1"/>
      <c r="BT147" s="1"/>
      <c r="BU147" s="1"/>
      <c r="BV147" s="1">
        <v>165310.82</v>
      </c>
      <c r="BW147" s="1">
        <v>6417</v>
      </c>
      <c r="BX147" s="1">
        <v>4036119.74</v>
      </c>
      <c r="BY147" s="1">
        <v>3664203.14</v>
      </c>
      <c r="BZ147" s="1">
        <v>273270.86</v>
      </c>
      <c r="CA147" s="1">
        <v>653589.87</v>
      </c>
      <c r="CB147" s="1">
        <v>2213</v>
      </c>
      <c r="CC147" s="1">
        <v>42955.83</v>
      </c>
      <c r="CD147" s="1"/>
      <c r="CE147" s="1"/>
      <c r="CF147" s="1">
        <v>35447</v>
      </c>
      <c r="CG147" s="1">
        <v>27654.74</v>
      </c>
      <c r="CH147" s="1">
        <v>6613393.0599999996</v>
      </c>
      <c r="CI147" s="1">
        <v>9917302.6099999994</v>
      </c>
      <c r="CJ147" s="1">
        <v>16735.55</v>
      </c>
      <c r="CK147" s="1">
        <v>46798.97</v>
      </c>
      <c r="CL147" s="1"/>
      <c r="CM147" s="1"/>
      <c r="CN147" s="1">
        <v>5344.56</v>
      </c>
      <c r="CO147" s="1">
        <v>602.63</v>
      </c>
      <c r="CP147" s="1">
        <v>11390.99</v>
      </c>
      <c r="CQ147" s="1">
        <v>46196.34</v>
      </c>
      <c r="CR147" s="1"/>
      <c r="CS147" s="1"/>
      <c r="CT147" s="1">
        <v>981928.17</v>
      </c>
      <c r="CU147" s="1">
        <v>1425203.17</v>
      </c>
      <c r="CV147" s="1"/>
      <c r="CW147" s="1"/>
      <c r="CX147" s="2">
        <v>21935281.32</v>
      </c>
      <c r="CY147" s="1">
        <v>30948678.309999999</v>
      </c>
      <c r="CZ147" s="1">
        <v>32515413.640000001</v>
      </c>
      <c r="DA147" s="1">
        <v>41992319.43</v>
      </c>
      <c r="DB147" s="1">
        <v>692947.63</v>
      </c>
      <c r="DC147" s="1">
        <v>692947.63</v>
      </c>
      <c r="DD147" s="1">
        <v>347359.71</v>
      </c>
      <c r="DE147" s="1">
        <v>347359.71</v>
      </c>
      <c r="DF147" s="1">
        <v>6118659.5199999996</v>
      </c>
      <c r="DG147" s="1">
        <v>7983881.8600000003</v>
      </c>
      <c r="DH147" s="1"/>
      <c r="DI147" s="1"/>
      <c r="DJ147" s="1">
        <v>2148882.16</v>
      </c>
      <c r="DK147" s="1">
        <v>96057</v>
      </c>
      <c r="DL147" s="24"/>
      <c r="DM147" s="24"/>
      <c r="DN147" s="1"/>
      <c r="DO147" s="1"/>
      <c r="DP147" s="2">
        <v>9307849.0199999996</v>
      </c>
      <c r="DQ147" s="1">
        <v>9120246.1999999993</v>
      </c>
      <c r="DR147" s="2">
        <v>8982066.2400000002</v>
      </c>
      <c r="DS147" s="1">
        <v>9363735.8399999999</v>
      </c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>
        <v>8982066.2400000002</v>
      </c>
      <c r="EK147" s="1">
        <v>9363735.8399999999</v>
      </c>
      <c r="EL147" s="1"/>
      <c r="EM147" s="1"/>
      <c r="EN147" s="1"/>
      <c r="EO147" s="1"/>
      <c r="EP147" s="2">
        <v>14225498.380000001</v>
      </c>
      <c r="EQ147" s="1">
        <v>23508337.390000001</v>
      </c>
      <c r="ER147" s="1">
        <v>10492188.380000001</v>
      </c>
      <c r="ES147" s="1">
        <v>13137341.74</v>
      </c>
      <c r="ET147" s="1"/>
      <c r="EU147" s="1"/>
      <c r="EV147" s="1">
        <v>3292031.62</v>
      </c>
      <c r="EW147" s="1">
        <v>5131596.68</v>
      </c>
      <c r="EX147" s="1"/>
      <c r="EY147" s="1"/>
      <c r="EZ147" s="1">
        <v>231</v>
      </c>
      <c r="FA147" s="1">
        <v>231</v>
      </c>
      <c r="FB147" s="1"/>
      <c r="FC147" s="1"/>
      <c r="FD147" s="1"/>
      <c r="FE147" s="1"/>
      <c r="FF147" s="1"/>
      <c r="FG147" s="1"/>
      <c r="FH147" s="1">
        <v>5392696</v>
      </c>
      <c r="FI147" s="1">
        <v>5892128.7300000004</v>
      </c>
      <c r="FJ147" s="1">
        <v>115031.25</v>
      </c>
      <c r="FK147" s="1">
        <v>77877.149999999994</v>
      </c>
      <c r="FL147" s="1"/>
      <c r="FM147" s="1"/>
      <c r="FN147" s="1">
        <v>6046.37</v>
      </c>
      <c r="FO147" s="1">
        <v>2227</v>
      </c>
      <c r="FP147" s="1">
        <v>189672.62</v>
      </c>
      <c r="FQ147" s="1">
        <v>172397.15</v>
      </c>
      <c r="FR147" s="1">
        <v>213913</v>
      </c>
      <c r="FS147" s="1">
        <v>45805</v>
      </c>
      <c r="FT147" s="1">
        <v>3660000</v>
      </c>
      <c r="FU147" s="1">
        <v>10297685.65</v>
      </c>
      <c r="FV147" s="1">
        <v>73310</v>
      </c>
      <c r="FW147" s="1">
        <v>73310</v>
      </c>
      <c r="FX147" s="1"/>
      <c r="FY147" s="1"/>
      <c r="FZ147" s="1">
        <v>1282566.52</v>
      </c>
      <c r="GA147" s="1">
        <v>1815079.03</v>
      </c>
      <c r="GB147" s="1">
        <v>23207564.620000001</v>
      </c>
      <c r="GC147" s="1">
        <v>32872073.23</v>
      </c>
      <c r="GD147" s="1">
        <v>32515413.640000001</v>
      </c>
      <c r="GE147" s="1">
        <v>41992319.43</v>
      </c>
    </row>
    <row r="148" spans="1:188" s="3" customFormat="1" ht="12" x14ac:dyDescent="0.2">
      <c r="A148" s="1">
        <v>20006</v>
      </c>
      <c r="B148" s="1">
        <v>0</v>
      </c>
      <c r="C148" s="1">
        <v>203422471</v>
      </c>
      <c r="D148" s="1" t="s">
        <v>152</v>
      </c>
      <c r="E148" s="1">
        <v>18</v>
      </c>
      <c r="F148" s="1">
        <v>11</v>
      </c>
      <c r="G148" s="1">
        <v>0</v>
      </c>
      <c r="H148" s="1">
        <v>1</v>
      </c>
      <c r="I148" s="1">
        <v>2019</v>
      </c>
      <c r="J148" s="1">
        <v>4</v>
      </c>
      <c r="K148" s="1" t="s">
        <v>0</v>
      </c>
      <c r="L148" s="1">
        <v>2</v>
      </c>
      <c r="M148" s="1">
        <v>30</v>
      </c>
      <c r="N148" s="1">
        <v>0</v>
      </c>
      <c r="O148" s="1">
        <v>44113.636307870373</v>
      </c>
      <c r="P148" s="1">
        <v>1246450.33</v>
      </c>
      <c r="Q148" s="1">
        <v>1232539.78</v>
      </c>
      <c r="R148" s="1">
        <v>830571.56</v>
      </c>
      <c r="S148" s="1">
        <v>883226.81</v>
      </c>
      <c r="T148" s="1">
        <v>415878.77</v>
      </c>
      <c r="U148" s="1">
        <v>349312.97</v>
      </c>
      <c r="V148" s="1"/>
      <c r="W148" s="1"/>
      <c r="X148" s="1"/>
      <c r="Y148" s="1"/>
      <c r="Z148" s="1"/>
      <c r="AA148" s="1"/>
      <c r="AB148" s="1">
        <v>85485.91</v>
      </c>
      <c r="AC148" s="1">
        <v>123471.95</v>
      </c>
      <c r="AD148" s="1">
        <v>16331.6</v>
      </c>
      <c r="AE148" s="1">
        <v>16331.6</v>
      </c>
      <c r="AF148" s="1">
        <v>69154.31</v>
      </c>
      <c r="AG148" s="1">
        <v>107140.35</v>
      </c>
      <c r="AH148" s="1"/>
      <c r="AI148" s="1"/>
      <c r="AJ148" s="1"/>
      <c r="AK148" s="1"/>
      <c r="AL148" s="1"/>
      <c r="AM148" s="1"/>
      <c r="AN148" s="1"/>
      <c r="AO148" s="1"/>
      <c r="AP148" s="1"/>
      <c r="AQ148" s="1">
        <v>10108240.529999999</v>
      </c>
      <c r="AR148" s="1"/>
      <c r="AS148" s="1"/>
      <c r="AT148" s="1"/>
      <c r="AU148" s="1"/>
      <c r="AV148" s="2">
        <v>501364.68</v>
      </c>
      <c r="AW148" s="1">
        <v>10581025.449999999</v>
      </c>
      <c r="AX148" s="1">
        <v>6728112.8799999999</v>
      </c>
      <c r="AY148" s="1">
        <v>5893522.1699999999</v>
      </c>
      <c r="AZ148" s="1">
        <v>971589.57</v>
      </c>
      <c r="BA148" s="1">
        <v>1410534.77</v>
      </c>
      <c r="BB148" s="1">
        <v>297967.49</v>
      </c>
      <c r="BC148" s="1">
        <v>4.54</v>
      </c>
      <c r="BD148" s="1">
        <v>5430657.5199999996</v>
      </c>
      <c r="BE148" s="1">
        <v>4471709.46</v>
      </c>
      <c r="BF148" s="1">
        <v>27898.3</v>
      </c>
      <c r="BG148" s="1">
        <v>11273.4</v>
      </c>
      <c r="BH148" s="1"/>
      <c r="BI148" s="1"/>
      <c r="BJ148" s="1"/>
      <c r="BK148" s="1"/>
      <c r="BL148" s="1">
        <v>10184090.02</v>
      </c>
      <c r="BM148" s="1">
        <v>14228393.07</v>
      </c>
      <c r="BN148" s="1"/>
      <c r="BO148" s="1"/>
      <c r="BP148" s="1">
        <v>3638037.38</v>
      </c>
      <c r="BQ148" s="1">
        <v>3947011.12</v>
      </c>
      <c r="BR148" s="1"/>
      <c r="BS148" s="1"/>
      <c r="BT148" s="1"/>
      <c r="BU148" s="1"/>
      <c r="BV148" s="1">
        <v>5310.82</v>
      </c>
      <c r="BW148" s="1">
        <v>165310.82</v>
      </c>
      <c r="BX148" s="1">
        <v>4427735.0999999996</v>
      </c>
      <c r="BY148" s="1">
        <v>3173307.09</v>
      </c>
      <c r="BZ148" s="1">
        <v>9328</v>
      </c>
      <c r="CA148" s="1">
        <v>273172.31</v>
      </c>
      <c r="CB148" s="1">
        <v>-714.02</v>
      </c>
      <c r="CC148" s="1">
        <v>3817.4</v>
      </c>
      <c r="CD148" s="1"/>
      <c r="CE148" s="1"/>
      <c r="CF148" s="1">
        <v>-2987.44</v>
      </c>
      <c r="CG148" s="1">
        <v>26569.69</v>
      </c>
      <c r="CH148" s="1">
        <v>2107380.1800000002</v>
      </c>
      <c r="CI148" s="1">
        <v>6639204.6399999997</v>
      </c>
      <c r="CJ148" s="1">
        <v>53770.67</v>
      </c>
      <c r="CK148" s="1">
        <v>19997.95</v>
      </c>
      <c r="CL148" s="1"/>
      <c r="CM148" s="1"/>
      <c r="CN148" s="1">
        <v>480.06</v>
      </c>
      <c r="CO148" s="1">
        <v>5428.71</v>
      </c>
      <c r="CP148" s="1">
        <v>53290.61</v>
      </c>
      <c r="CQ148" s="1">
        <v>14569.24</v>
      </c>
      <c r="CR148" s="1">
        <v>0</v>
      </c>
      <c r="CS148" s="1"/>
      <c r="CT148" s="1">
        <v>670928.17000000004</v>
      </c>
      <c r="CU148" s="1">
        <v>982028.17</v>
      </c>
      <c r="CV148" s="1"/>
      <c r="CW148" s="1"/>
      <c r="CX148" s="2">
        <v>17636901.739999998</v>
      </c>
      <c r="CY148" s="1">
        <v>21123941.359999999</v>
      </c>
      <c r="CZ148" s="1">
        <v>18138266.420000002</v>
      </c>
      <c r="DA148" s="1">
        <v>31704966.809999999</v>
      </c>
      <c r="DB148" s="1">
        <v>692947.63</v>
      </c>
      <c r="DC148" s="1">
        <v>692947.63</v>
      </c>
      <c r="DD148" s="1">
        <v>347359.71</v>
      </c>
      <c r="DE148" s="1">
        <v>347359.71</v>
      </c>
      <c r="DF148" s="1">
        <v>1647152.12</v>
      </c>
      <c r="DG148" s="1">
        <v>6610830.0300000003</v>
      </c>
      <c r="DH148" s="1"/>
      <c r="DI148" s="1"/>
      <c r="DJ148" s="1">
        <v>5290865.68</v>
      </c>
      <c r="DK148" s="1">
        <v>2165363.06</v>
      </c>
      <c r="DL148" s="24"/>
      <c r="DM148" s="24"/>
      <c r="DN148" s="1"/>
      <c r="DO148" s="1"/>
      <c r="DP148" s="2">
        <v>7978325.1399999997</v>
      </c>
      <c r="DQ148" s="1">
        <v>9816500.4299999997</v>
      </c>
      <c r="DR148" s="2"/>
      <c r="DS148" s="1">
        <v>8926008.9800000004</v>
      </c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>
        <v>8926008.9800000004</v>
      </c>
      <c r="EL148" s="1"/>
      <c r="EM148" s="1"/>
      <c r="EN148" s="1"/>
      <c r="EO148" s="1"/>
      <c r="EP148" s="2">
        <v>10159941.279999999</v>
      </c>
      <c r="EQ148" s="1">
        <v>12962457.4</v>
      </c>
      <c r="ER148" s="1">
        <v>9117858.8800000008</v>
      </c>
      <c r="ES148" s="1">
        <v>9131396.8900000006</v>
      </c>
      <c r="ET148" s="1"/>
      <c r="EU148" s="1"/>
      <c r="EV148" s="1">
        <v>2052018.79</v>
      </c>
      <c r="EW148" s="1">
        <v>2359614.4500000002</v>
      </c>
      <c r="EX148" s="1"/>
      <c r="EY148" s="1"/>
      <c r="EZ148" s="1">
        <v>230.72</v>
      </c>
      <c r="FA148" s="1">
        <v>230.72</v>
      </c>
      <c r="FB148" s="1"/>
      <c r="FC148" s="1"/>
      <c r="FD148" s="1"/>
      <c r="FE148" s="1"/>
      <c r="FF148" s="1"/>
      <c r="FG148" s="1"/>
      <c r="FH148" s="1">
        <v>5917690.9800000004</v>
      </c>
      <c r="FI148" s="1">
        <v>5274130.0999999996</v>
      </c>
      <c r="FJ148" s="1">
        <v>315261.75</v>
      </c>
      <c r="FK148" s="1">
        <v>115031.25</v>
      </c>
      <c r="FL148" s="1"/>
      <c r="FM148" s="1"/>
      <c r="FN148" s="1">
        <v>11258.11</v>
      </c>
      <c r="FO148" s="1">
        <v>6046.37</v>
      </c>
      <c r="FP148" s="1">
        <v>207201.04</v>
      </c>
      <c r="FQ148" s="1">
        <v>12259.12</v>
      </c>
      <c r="FR148" s="1">
        <v>38480.29</v>
      </c>
      <c r="FS148" s="1">
        <v>203859.1</v>
      </c>
      <c r="FT148" s="1">
        <v>910072.4</v>
      </c>
      <c r="FU148" s="1">
        <v>3690750.51</v>
      </c>
      <c r="FV148" s="1">
        <v>132010</v>
      </c>
      <c r="FW148" s="1">
        <v>140310</v>
      </c>
      <c r="FX148" s="1">
        <v>0</v>
      </c>
      <c r="FY148" s="1"/>
      <c r="FZ148" s="1">
        <v>575717.19999999995</v>
      </c>
      <c r="GA148" s="1">
        <v>1160225.78</v>
      </c>
      <c r="GB148" s="1">
        <v>10159941.279999999</v>
      </c>
      <c r="GC148" s="1">
        <v>21888466.379999999</v>
      </c>
      <c r="GD148" s="1">
        <v>18138266.420000002</v>
      </c>
      <c r="GE148" s="1">
        <v>31704966.809999999</v>
      </c>
    </row>
    <row r="149" spans="1:188" s="3" customFormat="1" x14ac:dyDescent="0.25">
      <c r="A149" s="1">
        <v>20006</v>
      </c>
      <c r="B149" s="1">
        <v>0</v>
      </c>
      <c r="C149" s="3">
        <v>203422471</v>
      </c>
      <c r="D149" s="3" t="s">
        <v>152</v>
      </c>
      <c r="E149" s="4">
        <v>18</v>
      </c>
      <c r="F149" s="4">
        <v>11</v>
      </c>
      <c r="G149" s="4">
        <v>0</v>
      </c>
      <c r="H149" s="4">
        <v>1</v>
      </c>
      <c r="I149" s="1">
        <v>2018</v>
      </c>
      <c r="J149" s="1">
        <v>4</v>
      </c>
      <c r="K149" s="3" t="s">
        <v>0</v>
      </c>
      <c r="L149" s="1">
        <v>2</v>
      </c>
      <c r="M149" s="1">
        <v>30</v>
      </c>
      <c r="N149" s="5">
        <v>0</v>
      </c>
      <c r="O149" s="6">
        <v>43958.692384259259</v>
      </c>
      <c r="P149" s="1">
        <v>1251649</v>
      </c>
      <c r="Q149" s="1">
        <v>1246450</v>
      </c>
      <c r="R149" s="1">
        <v>739251</v>
      </c>
      <c r="S149" s="1">
        <v>830550</v>
      </c>
      <c r="T149" s="1">
        <v>512398</v>
      </c>
      <c r="U149" s="1">
        <v>415900</v>
      </c>
      <c r="V149" s="1"/>
      <c r="W149" s="1"/>
      <c r="X149" s="1"/>
      <c r="Y149" s="1"/>
      <c r="Z149" s="1"/>
      <c r="AA149" s="1"/>
      <c r="AB149" s="1">
        <v>85486</v>
      </c>
      <c r="AC149" s="1">
        <v>85486</v>
      </c>
      <c r="AD149" s="1">
        <v>16332</v>
      </c>
      <c r="AE149" s="1">
        <v>16332</v>
      </c>
      <c r="AF149" s="1">
        <v>69154</v>
      </c>
      <c r="AG149" s="1">
        <v>69154</v>
      </c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2">
        <v>597884</v>
      </c>
      <c r="AW149" s="1">
        <v>501386</v>
      </c>
      <c r="AX149" s="1">
        <v>4920039</v>
      </c>
      <c r="AY149" s="1">
        <v>6749048</v>
      </c>
      <c r="AZ149" s="1">
        <v>629158</v>
      </c>
      <c r="BA149" s="1">
        <v>959137</v>
      </c>
      <c r="BB149" s="1">
        <v>456227</v>
      </c>
      <c r="BC149" s="1">
        <v>297967</v>
      </c>
      <c r="BD149" s="1">
        <v>3645519</v>
      </c>
      <c r="BE149" s="1">
        <v>5464046</v>
      </c>
      <c r="BF149" s="1">
        <v>189135</v>
      </c>
      <c r="BG149" s="1">
        <v>27898</v>
      </c>
      <c r="BH149" s="1"/>
      <c r="BI149" s="1"/>
      <c r="BJ149" s="1"/>
      <c r="BK149" s="1"/>
      <c r="BL149" s="1">
        <v>8602154</v>
      </c>
      <c r="BM149" s="1">
        <v>10162900</v>
      </c>
      <c r="BN149" s="1"/>
      <c r="BO149" s="1"/>
      <c r="BP149" s="1">
        <v>3390725</v>
      </c>
      <c r="BQ149" s="1">
        <v>3645428</v>
      </c>
      <c r="BR149" s="1"/>
      <c r="BS149" s="1"/>
      <c r="BT149" s="1"/>
      <c r="BU149" s="1"/>
      <c r="BV149" s="1">
        <v>8411</v>
      </c>
      <c r="BW149" s="1">
        <v>5311</v>
      </c>
      <c r="BX149" s="1">
        <v>3924335</v>
      </c>
      <c r="BY149" s="1">
        <v>4427735</v>
      </c>
      <c r="BZ149" s="1">
        <v>-156</v>
      </c>
      <c r="CA149" s="1">
        <v>9328</v>
      </c>
      <c r="CB149" s="1">
        <v>38314</v>
      </c>
      <c r="CC149" s="1">
        <v>-714</v>
      </c>
      <c r="CD149" s="1"/>
      <c r="CE149" s="1"/>
      <c r="CF149" s="1">
        <v>-538</v>
      </c>
      <c r="CG149" s="1">
        <v>-907</v>
      </c>
      <c r="CH149" s="1">
        <v>1241063</v>
      </c>
      <c r="CI149" s="1">
        <v>2076719</v>
      </c>
      <c r="CJ149" s="1">
        <v>65509</v>
      </c>
      <c r="CK149" s="1">
        <v>53771</v>
      </c>
      <c r="CL149" s="1"/>
      <c r="CM149" s="1"/>
      <c r="CN149" s="1">
        <v>2766</v>
      </c>
      <c r="CO149" s="1">
        <v>480</v>
      </c>
      <c r="CP149" s="1">
        <v>52999</v>
      </c>
      <c r="CQ149" s="1">
        <v>53291</v>
      </c>
      <c r="CR149" s="1">
        <v>9744</v>
      </c>
      <c r="CS149" s="1">
        <v>0</v>
      </c>
      <c r="CT149" s="1">
        <v>514880</v>
      </c>
      <c r="CU149" s="1">
        <v>670928</v>
      </c>
      <c r="CV149" s="1"/>
      <c r="CW149" s="1"/>
      <c r="CX149" s="2">
        <v>14102582</v>
      </c>
      <c r="CY149" s="1">
        <v>17636647</v>
      </c>
      <c r="CZ149" s="1">
        <v>14700466</v>
      </c>
      <c r="DA149" s="1">
        <v>18138033</v>
      </c>
      <c r="DB149" s="1">
        <v>692948</v>
      </c>
      <c r="DC149" s="1">
        <v>692947</v>
      </c>
      <c r="DD149" s="1">
        <v>347359</v>
      </c>
      <c r="DE149" s="1">
        <v>347360</v>
      </c>
      <c r="DF149" s="1">
        <v>1580056</v>
      </c>
      <c r="DG149" s="1">
        <v>1647152</v>
      </c>
      <c r="DH149" s="1"/>
      <c r="DI149" s="1"/>
      <c r="DJ149" s="1">
        <v>3739250</v>
      </c>
      <c r="DK149" s="1">
        <v>5236976</v>
      </c>
      <c r="DL149" s="24"/>
      <c r="DM149" s="24"/>
      <c r="DN149" s="1"/>
      <c r="DO149" s="1"/>
      <c r="DP149" s="2">
        <v>6359613</v>
      </c>
      <c r="DQ149" s="1">
        <v>7924435</v>
      </c>
      <c r="DR149" s="2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2">
        <v>8340853</v>
      </c>
      <c r="EQ149" s="1">
        <v>10213598</v>
      </c>
      <c r="ER149" s="1">
        <v>7663899</v>
      </c>
      <c r="ES149" s="1">
        <v>9171516</v>
      </c>
      <c r="ET149" s="1"/>
      <c r="EU149" s="1"/>
      <c r="EV149" s="1">
        <v>289769</v>
      </c>
      <c r="EW149" s="1">
        <v>2052019</v>
      </c>
      <c r="EX149" s="1">
        <v>231</v>
      </c>
      <c r="EY149" s="1"/>
      <c r="EZ149" s="1">
        <v>231</v>
      </c>
      <c r="FA149" s="1">
        <v>231</v>
      </c>
      <c r="FB149" s="1"/>
      <c r="FC149" s="1"/>
      <c r="FD149" s="1"/>
      <c r="FE149" s="1"/>
      <c r="FF149" s="1"/>
      <c r="FG149" s="1"/>
      <c r="FH149" s="1">
        <v>6557599</v>
      </c>
      <c r="FI149" s="1">
        <v>5917691</v>
      </c>
      <c r="FJ149" s="1">
        <v>107429</v>
      </c>
      <c r="FK149" s="1">
        <v>368919</v>
      </c>
      <c r="FL149" s="1"/>
      <c r="FM149" s="1"/>
      <c r="FN149" s="1">
        <v>24791</v>
      </c>
      <c r="FO149" s="1">
        <v>11258</v>
      </c>
      <c r="FP149" s="1">
        <v>8799</v>
      </c>
      <c r="FQ149" s="1">
        <v>207201</v>
      </c>
      <c r="FR149" s="1">
        <v>37484</v>
      </c>
      <c r="FS149" s="1">
        <v>38480</v>
      </c>
      <c r="FT149" s="1">
        <v>650004</v>
      </c>
      <c r="FU149" s="1">
        <v>910072</v>
      </c>
      <c r="FV149" s="1">
        <v>26950</v>
      </c>
      <c r="FW149" s="1">
        <v>132010</v>
      </c>
      <c r="FX149" s="1">
        <v>0</v>
      </c>
      <c r="FY149" s="1"/>
      <c r="FZ149" s="1">
        <v>637797</v>
      </c>
      <c r="GA149" s="1">
        <v>575717</v>
      </c>
      <c r="GB149" s="1">
        <v>8340853</v>
      </c>
      <c r="GC149" s="1">
        <v>10213598</v>
      </c>
      <c r="GD149" s="1">
        <v>14700466</v>
      </c>
      <c r="GE149" s="1">
        <v>18138033</v>
      </c>
      <c r="GF149" s="14">
        <f t="shared" ref="GF149" si="5">GE149-DA149</f>
        <v>0</v>
      </c>
    </row>
    <row r="150" spans="1:188" s="3" customFormat="1" ht="12" x14ac:dyDescent="0.2">
      <c r="A150" s="1">
        <v>20006</v>
      </c>
      <c r="B150" s="1">
        <v>0</v>
      </c>
      <c r="C150" s="1">
        <v>204651678</v>
      </c>
      <c r="D150" s="1" t="s">
        <v>153</v>
      </c>
      <c r="E150" s="1">
        <v>30</v>
      </c>
      <c r="F150" s="1">
        <v>3</v>
      </c>
      <c r="G150" s="1">
        <v>0</v>
      </c>
      <c r="H150" s="1">
        <v>1</v>
      </c>
      <c r="I150" s="1">
        <v>2021</v>
      </c>
      <c r="J150" s="1">
        <v>4</v>
      </c>
      <c r="K150" s="1" t="s">
        <v>0</v>
      </c>
      <c r="L150" s="1">
        <v>1</v>
      </c>
      <c r="M150" s="1">
        <v>30</v>
      </c>
      <c r="N150" s="1">
        <v>0</v>
      </c>
      <c r="O150" s="1">
        <v>44607.646111111113</v>
      </c>
      <c r="P150" s="1">
        <v>31005708</v>
      </c>
      <c r="Q150" s="1">
        <v>387043750</v>
      </c>
      <c r="R150" s="1">
        <v>2783214</v>
      </c>
      <c r="S150" s="1">
        <v>29056825</v>
      </c>
      <c r="T150" s="1">
        <v>28222494</v>
      </c>
      <c r="U150" s="1">
        <v>357986925</v>
      </c>
      <c r="V150" s="1">
        <v>3893417</v>
      </c>
      <c r="W150" s="1">
        <v>4303407</v>
      </c>
      <c r="X150" s="1">
        <v>77868</v>
      </c>
      <c r="Y150" s="1">
        <v>224069</v>
      </c>
      <c r="Z150" s="1">
        <v>3815549</v>
      </c>
      <c r="AA150" s="1">
        <v>4079338</v>
      </c>
      <c r="AB150" s="1">
        <v>6943</v>
      </c>
      <c r="AC150" s="1">
        <v>6943</v>
      </c>
      <c r="AD150" s="1">
        <v>6943</v>
      </c>
      <c r="AE150" s="1">
        <v>6943</v>
      </c>
      <c r="AF150" s="1"/>
      <c r="AG150" s="1"/>
      <c r="AH150" s="1"/>
      <c r="AI150" s="1"/>
      <c r="AJ150" s="1"/>
      <c r="AK150" s="1"/>
      <c r="AL150" s="1"/>
      <c r="AM150" s="1"/>
      <c r="AN150" s="1">
        <v>105782215</v>
      </c>
      <c r="AO150" s="1">
        <v>437904</v>
      </c>
      <c r="AP150" s="1">
        <v>129938601</v>
      </c>
      <c r="AQ150" s="1">
        <v>436077</v>
      </c>
      <c r="AR150" s="1"/>
      <c r="AS150" s="1"/>
      <c r="AT150" s="1"/>
      <c r="AU150" s="1"/>
      <c r="AV150" s="2">
        <v>267765802</v>
      </c>
      <c r="AW150" s="1">
        <v>362947187</v>
      </c>
      <c r="AX150" s="1">
        <v>19300963</v>
      </c>
      <c r="AY150" s="1">
        <v>63009637</v>
      </c>
      <c r="AZ150" s="1">
        <v>14535045</v>
      </c>
      <c r="BA150" s="1">
        <v>54710160</v>
      </c>
      <c r="BB150" s="1"/>
      <c r="BC150" s="1">
        <v>1631370</v>
      </c>
      <c r="BD150" s="1">
        <v>11763</v>
      </c>
      <c r="BE150" s="1">
        <v>6668107</v>
      </c>
      <c r="BF150" s="1">
        <v>4754155</v>
      </c>
      <c r="BG150" s="1">
        <v>0</v>
      </c>
      <c r="BH150" s="1">
        <v>0</v>
      </c>
      <c r="BI150" s="1">
        <v>151606</v>
      </c>
      <c r="BJ150" s="1">
        <v>0</v>
      </c>
      <c r="BK150" s="1">
        <v>0</v>
      </c>
      <c r="BL150" s="1">
        <v>17017091</v>
      </c>
      <c r="BM150" s="1">
        <v>57920083</v>
      </c>
      <c r="BN150" s="1"/>
      <c r="BO150" s="1"/>
      <c r="BP150" s="1">
        <v>1062265</v>
      </c>
      <c r="BQ150" s="1">
        <v>32868793</v>
      </c>
      <c r="BR150" s="1"/>
      <c r="BS150" s="1"/>
      <c r="BT150" s="1"/>
      <c r="BU150" s="1"/>
      <c r="BV150" s="1"/>
      <c r="BW150" s="1"/>
      <c r="BX150" s="1">
        <v>9457285</v>
      </c>
      <c r="BY150" s="1">
        <v>13430201</v>
      </c>
      <c r="BZ150" s="1">
        <v>6484614</v>
      </c>
      <c r="CA150" s="1">
        <v>11530939</v>
      </c>
      <c r="CB150" s="1">
        <v>0</v>
      </c>
      <c r="CC150" s="1">
        <v>0</v>
      </c>
      <c r="CD150" s="1"/>
      <c r="CE150" s="1"/>
      <c r="CF150" s="1"/>
      <c r="CG150" s="1">
        <v>3000</v>
      </c>
      <c r="CH150" s="1">
        <v>12927</v>
      </c>
      <c r="CI150" s="1">
        <v>87150</v>
      </c>
      <c r="CJ150" s="1">
        <v>47144875</v>
      </c>
      <c r="CK150" s="1">
        <v>41031367</v>
      </c>
      <c r="CL150" s="1"/>
      <c r="CM150" s="1"/>
      <c r="CN150" s="1">
        <v>646988</v>
      </c>
      <c r="CO150" s="1">
        <v>817162</v>
      </c>
      <c r="CP150" s="1">
        <v>46497887</v>
      </c>
      <c r="CQ150" s="1">
        <v>40140004</v>
      </c>
      <c r="CR150" s="1"/>
      <c r="CS150" s="1">
        <v>74201</v>
      </c>
      <c r="CT150" s="1"/>
      <c r="CU150" s="1">
        <v>6000000</v>
      </c>
      <c r="CV150" s="1"/>
      <c r="CW150" s="1"/>
      <c r="CX150" s="2">
        <v>83462929</v>
      </c>
      <c r="CY150" s="1">
        <v>168112693</v>
      </c>
      <c r="CZ150" s="1">
        <v>351228731</v>
      </c>
      <c r="DA150" s="1">
        <v>531059880</v>
      </c>
      <c r="DB150" s="1">
        <v>2916798</v>
      </c>
      <c r="DC150" s="1">
        <v>2916798</v>
      </c>
      <c r="DD150" s="1"/>
      <c r="DE150" s="1"/>
      <c r="DF150" s="1">
        <v>26422642</v>
      </c>
      <c r="DG150" s="1">
        <v>26774356</v>
      </c>
      <c r="DH150" s="1"/>
      <c r="DI150" s="1"/>
      <c r="DJ150" s="1">
        <v>-26280948</v>
      </c>
      <c r="DK150" s="1">
        <v>34557758</v>
      </c>
      <c r="DL150" s="24"/>
      <c r="DM150" s="24"/>
      <c r="DN150" s="1">
        <v>192911</v>
      </c>
      <c r="DO150" s="1"/>
      <c r="DP150" s="2">
        <v>3251403</v>
      </c>
      <c r="DQ150" s="1">
        <v>64248912</v>
      </c>
      <c r="DR150" s="2">
        <v>321641444</v>
      </c>
      <c r="DS150" s="1">
        <v>419417442</v>
      </c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>
        <v>261923000</v>
      </c>
      <c r="EK150" s="1">
        <v>270941500</v>
      </c>
      <c r="EL150" s="1">
        <v>59718444</v>
      </c>
      <c r="EM150" s="1">
        <v>148475942</v>
      </c>
      <c r="EN150" s="1"/>
      <c r="EO150" s="1"/>
      <c r="EP150" s="2">
        <v>26335884</v>
      </c>
      <c r="EQ150" s="1">
        <v>47393526</v>
      </c>
      <c r="ER150" s="1">
        <v>26096130</v>
      </c>
      <c r="ES150" s="1">
        <v>47393526</v>
      </c>
      <c r="ET150" s="1"/>
      <c r="EU150" s="1"/>
      <c r="EV150" s="1">
        <v>23130538</v>
      </c>
      <c r="EW150" s="1">
        <v>34663882</v>
      </c>
      <c r="EX150" s="1"/>
      <c r="EY150" s="1"/>
      <c r="EZ150" s="1"/>
      <c r="FA150" s="1"/>
      <c r="FB150" s="1">
        <v>239754</v>
      </c>
      <c r="FC150" s="1"/>
      <c r="FD150" s="1"/>
      <c r="FE150" s="1"/>
      <c r="FF150" s="1"/>
      <c r="FG150" s="1"/>
      <c r="FH150" s="1">
        <v>69718</v>
      </c>
      <c r="FI150" s="1">
        <v>6581058</v>
      </c>
      <c r="FJ150" s="1">
        <v>7319</v>
      </c>
      <c r="FK150" s="1">
        <v>230408</v>
      </c>
      <c r="FL150" s="1"/>
      <c r="FM150" s="1"/>
      <c r="FN150" s="1">
        <v>109371</v>
      </c>
      <c r="FO150" s="1">
        <v>401250</v>
      </c>
      <c r="FP150" s="1">
        <v>24291</v>
      </c>
      <c r="FQ150" s="1">
        <v>21483</v>
      </c>
      <c r="FR150" s="1">
        <v>615493</v>
      </c>
      <c r="FS150" s="1">
        <v>1374399</v>
      </c>
      <c r="FT150" s="1"/>
      <c r="FU150" s="1"/>
      <c r="FV150" s="1"/>
      <c r="FW150" s="1"/>
      <c r="FX150" s="1"/>
      <c r="FY150" s="1"/>
      <c r="FZ150" s="1">
        <v>2139400</v>
      </c>
      <c r="GA150" s="1">
        <v>4121046</v>
      </c>
      <c r="GB150" s="1">
        <v>347977328</v>
      </c>
      <c r="GC150" s="1">
        <v>466810968</v>
      </c>
      <c r="GD150" s="1">
        <v>351228731</v>
      </c>
      <c r="GE150" s="1">
        <v>531059880</v>
      </c>
    </row>
    <row r="151" spans="1:188" s="3" customFormat="1" ht="12" x14ac:dyDescent="0.2">
      <c r="A151" s="1">
        <v>20006</v>
      </c>
      <c r="B151" s="1">
        <v>0</v>
      </c>
      <c r="C151" s="1">
        <v>204651678</v>
      </c>
      <c r="D151" s="1" t="s">
        <v>153</v>
      </c>
      <c r="E151" s="1">
        <v>30</v>
      </c>
      <c r="F151" s="1">
        <v>3</v>
      </c>
      <c r="G151" s="1">
        <v>0</v>
      </c>
      <c r="H151" s="1">
        <v>1</v>
      </c>
      <c r="I151" s="1">
        <v>2020</v>
      </c>
      <c r="J151" s="1">
        <v>4</v>
      </c>
      <c r="K151" s="1" t="s">
        <v>0</v>
      </c>
      <c r="L151" s="1">
        <v>2</v>
      </c>
      <c r="M151" s="1">
        <v>30</v>
      </c>
      <c r="N151" s="1">
        <v>0</v>
      </c>
      <c r="O151" s="1">
        <v>44314.675312500003</v>
      </c>
      <c r="P151" s="1">
        <v>29030758</v>
      </c>
      <c r="Q151" s="1">
        <v>31005708</v>
      </c>
      <c r="R151" s="1">
        <v>842907</v>
      </c>
      <c r="S151" s="1">
        <v>2783214</v>
      </c>
      <c r="T151" s="1">
        <v>28187851</v>
      </c>
      <c r="U151" s="1">
        <v>28222494</v>
      </c>
      <c r="V151" s="1">
        <v>3893417</v>
      </c>
      <c r="W151" s="1">
        <v>3893417</v>
      </c>
      <c r="X151" s="1">
        <v>0</v>
      </c>
      <c r="Y151" s="1">
        <v>77868</v>
      </c>
      <c r="Z151" s="1">
        <v>3893417</v>
      </c>
      <c r="AA151" s="1">
        <v>3815549</v>
      </c>
      <c r="AB151" s="1">
        <v>6943</v>
      </c>
      <c r="AC151" s="1">
        <v>6943</v>
      </c>
      <c r="AD151" s="1">
        <v>6943</v>
      </c>
      <c r="AE151" s="1">
        <v>6943</v>
      </c>
      <c r="AF151" s="1"/>
      <c r="AG151" s="1"/>
      <c r="AH151" s="1"/>
      <c r="AI151" s="1"/>
      <c r="AJ151" s="1"/>
      <c r="AK151" s="1"/>
      <c r="AL151" s="1"/>
      <c r="AM151" s="1"/>
      <c r="AN151" s="1">
        <v>367960</v>
      </c>
      <c r="AO151" s="1">
        <v>105782215</v>
      </c>
      <c r="AP151" s="1">
        <v>9908536</v>
      </c>
      <c r="AQ151" s="1">
        <v>129938601</v>
      </c>
      <c r="AR151" s="1"/>
      <c r="AS151" s="1"/>
      <c r="AT151" s="1"/>
      <c r="AU151" s="1"/>
      <c r="AV151" s="2">
        <v>42364707</v>
      </c>
      <c r="AW151" s="1">
        <v>267765802</v>
      </c>
      <c r="AX151" s="1">
        <v>6051094</v>
      </c>
      <c r="AY151" s="1">
        <v>19300963</v>
      </c>
      <c r="AZ151" s="1">
        <v>5632241</v>
      </c>
      <c r="BA151" s="1">
        <v>14535045</v>
      </c>
      <c r="BB151" s="1"/>
      <c r="BC151" s="1"/>
      <c r="BD151" s="1">
        <v>418853</v>
      </c>
      <c r="BE151" s="1">
        <v>11763</v>
      </c>
      <c r="BF151" s="1"/>
      <c r="BG151" s="1">
        <v>4754155</v>
      </c>
      <c r="BH151" s="1"/>
      <c r="BI151" s="1"/>
      <c r="BJ151" s="1"/>
      <c r="BK151" s="1"/>
      <c r="BL151" s="1">
        <v>8301644</v>
      </c>
      <c r="BM151" s="1">
        <v>17017091</v>
      </c>
      <c r="BN151" s="1"/>
      <c r="BO151" s="1"/>
      <c r="BP151" s="1">
        <v>474609</v>
      </c>
      <c r="BQ151" s="1">
        <v>1062265</v>
      </c>
      <c r="BR151" s="1"/>
      <c r="BS151" s="1"/>
      <c r="BT151" s="1"/>
      <c r="BU151" s="1"/>
      <c r="BV151" s="1"/>
      <c r="BW151" s="1"/>
      <c r="BX151" s="1">
        <v>6315706</v>
      </c>
      <c r="BY151" s="1">
        <v>9457285</v>
      </c>
      <c r="BZ151" s="1">
        <v>1511329</v>
      </c>
      <c r="CA151" s="1">
        <v>6484614</v>
      </c>
      <c r="CB151" s="1"/>
      <c r="CC151" s="1"/>
      <c r="CD151" s="1"/>
      <c r="CE151" s="1"/>
      <c r="CF151" s="1"/>
      <c r="CG151" s="1"/>
      <c r="CH151" s="1">
        <v>0</v>
      </c>
      <c r="CI151" s="1">
        <v>12927</v>
      </c>
      <c r="CJ151" s="1">
        <v>26046280</v>
      </c>
      <c r="CK151" s="1">
        <v>47144875</v>
      </c>
      <c r="CL151" s="1"/>
      <c r="CM151" s="1"/>
      <c r="CN151" s="1">
        <v>2670416</v>
      </c>
      <c r="CO151" s="1">
        <v>646988</v>
      </c>
      <c r="CP151" s="1">
        <v>23375864</v>
      </c>
      <c r="CQ151" s="1">
        <v>46497887</v>
      </c>
      <c r="CR151" s="1"/>
      <c r="CS151" s="1"/>
      <c r="CT151" s="1"/>
      <c r="CU151" s="1"/>
      <c r="CV151" s="1"/>
      <c r="CW151" s="1"/>
      <c r="CX151" s="2">
        <v>40399018</v>
      </c>
      <c r="CY151" s="1">
        <v>83462929</v>
      </c>
      <c r="CZ151" s="1">
        <v>82763725</v>
      </c>
      <c r="DA151" s="1">
        <v>351228731</v>
      </c>
      <c r="DB151" s="1">
        <v>2916798</v>
      </c>
      <c r="DC151" s="1">
        <v>2916798</v>
      </c>
      <c r="DD151" s="1"/>
      <c r="DE151" s="1"/>
      <c r="DF151" s="1">
        <v>28397037</v>
      </c>
      <c r="DG151" s="1">
        <v>26422642</v>
      </c>
      <c r="DH151" s="1"/>
      <c r="DI151" s="1"/>
      <c r="DJ151" s="1">
        <v>-1339929</v>
      </c>
      <c r="DK151" s="1">
        <v>-26280948</v>
      </c>
      <c r="DL151" s="24"/>
      <c r="DM151" s="24"/>
      <c r="DN151" s="1">
        <v>192911</v>
      </c>
      <c r="DO151" s="1">
        <v>192911</v>
      </c>
      <c r="DP151" s="2">
        <v>30166817</v>
      </c>
      <c r="DQ151" s="1">
        <v>3251403</v>
      </c>
      <c r="DR151" s="2">
        <v>47537800</v>
      </c>
      <c r="DS151" s="1">
        <v>321641444</v>
      </c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>
        <v>0</v>
      </c>
      <c r="EK151" s="1">
        <v>261923000</v>
      </c>
      <c r="EL151" s="1">
        <v>47537800</v>
      </c>
      <c r="EM151" s="1">
        <v>59718444</v>
      </c>
      <c r="EN151" s="1"/>
      <c r="EO151" s="1"/>
      <c r="EP151" s="2">
        <v>5059108</v>
      </c>
      <c r="EQ151" s="1">
        <v>26335884</v>
      </c>
      <c r="ER151" s="1">
        <v>1418853</v>
      </c>
      <c r="ES151" s="1">
        <v>26096130</v>
      </c>
      <c r="ET151" s="1"/>
      <c r="EU151" s="1"/>
      <c r="EV151" s="1">
        <v>480397</v>
      </c>
      <c r="EW151" s="1">
        <v>23130538</v>
      </c>
      <c r="EX151" s="1"/>
      <c r="EY151" s="1"/>
      <c r="EZ151" s="1"/>
      <c r="FA151" s="1"/>
      <c r="FB151" s="1">
        <v>3640255</v>
      </c>
      <c r="FC151" s="1">
        <v>239754</v>
      </c>
      <c r="FD151" s="1"/>
      <c r="FE151" s="1"/>
      <c r="FF151" s="1"/>
      <c r="FG151" s="1"/>
      <c r="FH151" s="1">
        <v>19768</v>
      </c>
      <c r="FI151" s="1">
        <v>69718</v>
      </c>
      <c r="FJ151" s="1">
        <v>88361</v>
      </c>
      <c r="FK151" s="1">
        <v>7319</v>
      </c>
      <c r="FL151" s="1"/>
      <c r="FM151" s="1"/>
      <c r="FN151" s="1">
        <v>63479</v>
      </c>
      <c r="FO151" s="1">
        <v>109371</v>
      </c>
      <c r="FP151" s="1">
        <v>23064</v>
      </c>
      <c r="FQ151" s="1">
        <v>24291</v>
      </c>
      <c r="FR151" s="1">
        <v>677192</v>
      </c>
      <c r="FS151" s="1">
        <v>615493</v>
      </c>
      <c r="FT151" s="1"/>
      <c r="FU151" s="1"/>
      <c r="FV151" s="1"/>
      <c r="FW151" s="1"/>
      <c r="FX151" s="1"/>
      <c r="FY151" s="1"/>
      <c r="FZ151" s="1">
        <v>66592</v>
      </c>
      <c r="GA151" s="1">
        <v>2139400</v>
      </c>
      <c r="GB151" s="1">
        <v>52596908</v>
      </c>
      <c r="GC151" s="1">
        <v>347977328</v>
      </c>
      <c r="GD151" s="1">
        <v>82763725</v>
      </c>
      <c r="GE151" s="1">
        <v>351228731</v>
      </c>
    </row>
    <row r="152" spans="1:188" s="3" customFormat="1" ht="12" x14ac:dyDescent="0.2">
      <c r="A152" s="1">
        <v>20006</v>
      </c>
      <c r="B152" s="1">
        <v>0</v>
      </c>
      <c r="C152" s="1">
        <v>204651678</v>
      </c>
      <c r="D152" s="1" t="s">
        <v>153</v>
      </c>
      <c r="E152" s="1">
        <v>30</v>
      </c>
      <c r="F152" s="1">
        <v>3</v>
      </c>
      <c r="G152" s="1">
        <v>0</v>
      </c>
      <c r="H152" s="1">
        <v>1</v>
      </c>
      <c r="I152" s="1">
        <v>2019</v>
      </c>
      <c r="J152" s="1">
        <v>4</v>
      </c>
      <c r="K152" s="1" t="s">
        <v>0</v>
      </c>
      <c r="L152" s="1">
        <v>1</v>
      </c>
      <c r="M152" s="1">
        <v>30</v>
      </c>
      <c r="N152" s="1">
        <v>0</v>
      </c>
      <c r="O152" s="1">
        <v>43869.396979166668</v>
      </c>
      <c r="P152" s="1">
        <v>12436539</v>
      </c>
      <c r="Q152" s="1">
        <v>29030758</v>
      </c>
      <c r="R152" s="1">
        <v>6121204</v>
      </c>
      <c r="S152" s="1">
        <v>842907</v>
      </c>
      <c r="T152" s="1">
        <v>6315335</v>
      </c>
      <c r="U152" s="1">
        <v>28187851</v>
      </c>
      <c r="V152" s="1"/>
      <c r="W152" s="1">
        <v>3893417</v>
      </c>
      <c r="X152" s="1"/>
      <c r="Y152" s="1">
        <v>0</v>
      </c>
      <c r="Z152" s="1"/>
      <c r="AA152" s="1">
        <v>3893417</v>
      </c>
      <c r="AB152" s="1">
        <v>6943</v>
      </c>
      <c r="AC152" s="1">
        <v>6943</v>
      </c>
      <c r="AD152" s="1">
        <v>6943</v>
      </c>
      <c r="AE152" s="1">
        <v>6943</v>
      </c>
      <c r="AF152" s="1"/>
      <c r="AG152" s="1"/>
      <c r="AH152" s="1"/>
      <c r="AI152" s="1"/>
      <c r="AJ152" s="1"/>
      <c r="AK152" s="1"/>
      <c r="AL152" s="1"/>
      <c r="AM152" s="1"/>
      <c r="AN152" s="1">
        <v>1329762</v>
      </c>
      <c r="AO152" s="1">
        <v>367960</v>
      </c>
      <c r="AP152" s="1"/>
      <c r="AQ152" s="1">
        <v>9908536</v>
      </c>
      <c r="AR152" s="1"/>
      <c r="AS152" s="1"/>
      <c r="AT152" s="1"/>
      <c r="AU152" s="1"/>
      <c r="AV152" s="2">
        <v>7652040</v>
      </c>
      <c r="AW152" s="1">
        <v>42364707</v>
      </c>
      <c r="AX152" s="1">
        <v>6980352</v>
      </c>
      <c r="AY152" s="1">
        <v>6051094</v>
      </c>
      <c r="AZ152" s="1">
        <v>6525391</v>
      </c>
      <c r="BA152" s="1">
        <v>5632241</v>
      </c>
      <c r="BB152" s="1"/>
      <c r="BC152" s="1"/>
      <c r="BD152" s="1">
        <v>454961</v>
      </c>
      <c r="BE152" s="1">
        <v>418853</v>
      </c>
      <c r="BF152" s="1"/>
      <c r="BG152" s="1"/>
      <c r="BH152" s="1">
        <v>7385000</v>
      </c>
      <c r="BI152" s="1">
        <v>0</v>
      </c>
      <c r="BJ152" s="1"/>
      <c r="BK152" s="1"/>
      <c r="BL152" s="1">
        <v>1347802</v>
      </c>
      <c r="BM152" s="1">
        <v>8301644</v>
      </c>
      <c r="BN152" s="1"/>
      <c r="BO152" s="1"/>
      <c r="BP152" s="1">
        <v>208090</v>
      </c>
      <c r="BQ152" s="1">
        <v>474609</v>
      </c>
      <c r="BR152" s="1"/>
      <c r="BS152" s="1"/>
      <c r="BT152" s="1"/>
      <c r="BU152" s="1"/>
      <c r="BV152" s="1"/>
      <c r="BW152" s="1"/>
      <c r="BX152" s="1">
        <v>1014650</v>
      </c>
      <c r="BY152" s="1">
        <v>6315706</v>
      </c>
      <c r="BZ152" s="1">
        <v>124386</v>
      </c>
      <c r="CA152" s="1">
        <v>1511329</v>
      </c>
      <c r="CB152" s="1"/>
      <c r="CC152" s="1"/>
      <c r="CD152" s="1"/>
      <c r="CE152" s="1"/>
      <c r="CF152" s="1"/>
      <c r="CG152" s="1"/>
      <c r="CH152" s="1">
        <v>676</v>
      </c>
      <c r="CI152" s="1">
        <v>0</v>
      </c>
      <c r="CJ152" s="1">
        <v>204028</v>
      </c>
      <c r="CK152" s="1">
        <v>26046280</v>
      </c>
      <c r="CL152" s="1"/>
      <c r="CM152" s="1"/>
      <c r="CN152" s="1">
        <v>69359</v>
      </c>
      <c r="CO152" s="1">
        <v>2670416</v>
      </c>
      <c r="CP152" s="1">
        <v>93057</v>
      </c>
      <c r="CQ152" s="1">
        <v>23375864</v>
      </c>
      <c r="CR152" s="1">
        <v>41612</v>
      </c>
      <c r="CS152" s="1"/>
      <c r="CT152" s="1"/>
      <c r="CU152" s="1"/>
      <c r="CV152" s="1"/>
      <c r="CW152" s="1"/>
      <c r="CX152" s="2">
        <v>15917182</v>
      </c>
      <c r="CY152" s="1">
        <v>40399018</v>
      </c>
      <c r="CZ152" s="1">
        <v>23569222</v>
      </c>
      <c r="DA152" s="1">
        <v>82763725</v>
      </c>
      <c r="DB152" s="1">
        <v>2916798</v>
      </c>
      <c r="DC152" s="1">
        <v>2916798</v>
      </c>
      <c r="DD152" s="1"/>
      <c r="DE152" s="1"/>
      <c r="DF152" s="1">
        <v>1818330</v>
      </c>
      <c r="DG152" s="1">
        <v>28397037</v>
      </c>
      <c r="DH152" s="1"/>
      <c r="DI152" s="1"/>
      <c r="DJ152" s="1">
        <v>506154</v>
      </c>
      <c r="DK152" s="1">
        <v>-1339928</v>
      </c>
      <c r="DL152" s="24">
        <v>7385000</v>
      </c>
      <c r="DM152" s="24">
        <v>0</v>
      </c>
      <c r="DN152" s="1">
        <v>192911</v>
      </c>
      <c r="DO152" s="1">
        <v>192911</v>
      </c>
      <c r="DP152" s="2">
        <v>12819193</v>
      </c>
      <c r="DQ152" s="1">
        <v>30166818</v>
      </c>
      <c r="DR152" s="2"/>
      <c r="DS152" s="1">
        <v>47537800</v>
      </c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>
        <v>47537800</v>
      </c>
      <c r="EN152" s="1"/>
      <c r="EO152" s="1"/>
      <c r="EP152" s="2">
        <v>10750029</v>
      </c>
      <c r="EQ152" s="1">
        <v>5059107</v>
      </c>
      <c r="ER152" s="1">
        <v>10750029</v>
      </c>
      <c r="ES152" s="1">
        <v>1418852</v>
      </c>
      <c r="ET152" s="1"/>
      <c r="EU152" s="1"/>
      <c r="EV152" s="1">
        <v>8150318</v>
      </c>
      <c r="EW152" s="1">
        <v>480397</v>
      </c>
      <c r="EX152" s="1"/>
      <c r="EY152" s="1"/>
      <c r="EZ152" s="1">
        <v>278178</v>
      </c>
      <c r="FA152" s="1"/>
      <c r="FB152" s="1"/>
      <c r="FC152" s="1">
        <v>3640255</v>
      </c>
      <c r="FD152" s="1"/>
      <c r="FE152" s="1"/>
      <c r="FF152" s="1"/>
      <c r="FG152" s="1"/>
      <c r="FH152" s="1">
        <v>32769</v>
      </c>
      <c r="FI152" s="1">
        <v>19768</v>
      </c>
      <c r="FJ152" s="1">
        <v>1105999</v>
      </c>
      <c r="FK152" s="1">
        <v>88361</v>
      </c>
      <c r="FL152" s="1"/>
      <c r="FM152" s="1"/>
      <c r="FN152" s="1">
        <v>578980</v>
      </c>
      <c r="FO152" s="1">
        <v>63479</v>
      </c>
      <c r="FP152" s="1">
        <v>18904</v>
      </c>
      <c r="FQ152" s="1">
        <v>23064</v>
      </c>
      <c r="FR152" s="1">
        <v>348367</v>
      </c>
      <c r="FS152" s="1">
        <v>677192</v>
      </c>
      <c r="FT152" s="1"/>
      <c r="FU152" s="1"/>
      <c r="FV152" s="1"/>
      <c r="FW152" s="1"/>
      <c r="FX152" s="1"/>
      <c r="FY152" s="1"/>
      <c r="FZ152" s="1">
        <v>236514</v>
      </c>
      <c r="GA152" s="1">
        <v>66591</v>
      </c>
      <c r="GB152" s="1">
        <v>10750029</v>
      </c>
      <c r="GC152" s="1">
        <v>52596907</v>
      </c>
      <c r="GD152" s="1">
        <v>23569222</v>
      </c>
      <c r="GE152" s="1">
        <v>82763725</v>
      </c>
    </row>
    <row r="153" spans="1:188" s="3" customFormat="1" x14ac:dyDescent="0.25">
      <c r="A153" s="1">
        <v>20006</v>
      </c>
      <c r="B153" s="1">
        <v>0</v>
      </c>
      <c r="C153" s="3">
        <v>204651678</v>
      </c>
      <c r="D153" s="3" t="s">
        <v>153</v>
      </c>
      <c r="E153" s="4">
        <v>30</v>
      </c>
      <c r="F153" s="4">
        <v>3</v>
      </c>
      <c r="G153" s="4">
        <v>0</v>
      </c>
      <c r="H153" s="4">
        <v>1</v>
      </c>
      <c r="I153" s="1">
        <v>2018</v>
      </c>
      <c r="J153" s="1">
        <v>4</v>
      </c>
      <c r="K153" s="3" t="s">
        <v>0</v>
      </c>
      <c r="L153" s="1">
        <v>1</v>
      </c>
      <c r="M153" s="1">
        <v>30</v>
      </c>
      <c r="N153" s="5">
        <v>0</v>
      </c>
      <c r="O153" s="6">
        <v>43510.66443287037</v>
      </c>
      <c r="P153" s="1">
        <v>8489357</v>
      </c>
      <c r="Q153" s="1">
        <v>11996976</v>
      </c>
      <c r="R153" s="1">
        <v>5379468</v>
      </c>
      <c r="S153" s="1">
        <v>5886320</v>
      </c>
      <c r="T153" s="1">
        <v>3109889</v>
      </c>
      <c r="U153" s="1">
        <v>6110656</v>
      </c>
      <c r="V153" s="1"/>
      <c r="W153" s="1"/>
      <c r="X153" s="1"/>
      <c r="Y153" s="1"/>
      <c r="Z153" s="1"/>
      <c r="AA153" s="1"/>
      <c r="AB153" s="1">
        <v>6943</v>
      </c>
      <c r="AC153" s="1">
        <v>6943</v>
      </c>
      <c r="AD153" s="1">
        <v>6943</v>
      </c>
      <c r="AE153" s="1">
        <v>6943</v>
      </c>
      <c r="AF153" s="1"/>
      <c r="AG153" s="1"/>
      <c r="AH153" s="1"/>
      <c r="AI153" s="1"/>
      <c r="AJ153" s="1"/>
      <c r="AK153" s="1"/>
      <c r="AL153" s="1"/>
      <c r="AM153" s="1"/>
      <c r="AN153" s="1">
        <v>1535226</v>
      </c>
      <c r="AO153" s="1">
        <v>1329762</v>
      </c>
      <c r="AP153" s="1">
        <v>458139</v>
      </c>
      <c r="AQ153" s="1">
        <v>0</v>
      </c>
      <c r="AR153" s="1"/>
      <c r="AS153" s="1"/>
      <c r="AT153" s="1"/>
      <c r="AU153" s="1"/>
      <c r="AV153" s="2">
        <v>5110197</v>
      </c>
      <c r="AW153" s="1">
        <v>7447361</v>
      </c>
      <c r="AX153" s="1">
        <v>6462116</v>
      </c>
      <c r="AY153" s="1">
        <v>6980352</v>
      </c>
      <c r="AZ153" s="1">
        <v>5041339</v>
      </c>
      <c r="BA153" s="1">
        <v>6525391</v>
      </c>
      <c r="BB153" s="1"/>
      <c r="BC153" s="1"/>
      <c r="BD153" s="1">
        <v>1420777</v>
      </c>
      <c r="BE153" s="1">
        <v>454961</v>
      </c>
      <c r="BF153" s="1"/>
      <c r="BG153" s="1"/>
      <c r="BH153" s="1">
        <v>12610815</v>
      </c>
      <c r="BI153" s="1">
        <v>7385000</v>
      </c>
      <c r="BJ153" s="1">
        <v>214506</v>
      </c>
      <c r="BK153" s="1">
        <v>0</v>
      </c>
      <c r="BL153" s="1">
        <v>10743181</v>
      </c>
      <c r="BM153" s="1">
        <v>1347802</v>
      </c>
      <c r="BN153" s="1"/>
      <c r="BO153" s="1"/>
      <c r="BP153" s="1">
        <v>9864173</v>
      </c>
      <c r="BQ153" s="1">
        <v>208090</v>
      </c>
      <c r="BR153" s="1"/>
      <c r="BS153" s="1"/>
      <c r="BT153" s="1"/>
      <c r="BU153" s="1"/>
      <c r="BV153" s="1"/>
      <c r="BW153" s="1"/>
      <c r="BX153" s="1">
        <v>497918</v>
      </c>
      <c r="BY153" s="1">
        <v>1014650</v>
      </c>
      <c r="BZ153" s="1">
        <v>290527</v>
      </c>
      <c r="CA153" s="1">
        <v>124386</v>
      </c>
      <c r="CB153" s="1"/>
      <c r="CC153" s="1"/>
      <c r="CD153" s="1"/>
      <c r="CE153" s="1"/>
      <c r="CF153" s="1"/>
      <c r="CG153" s="1"/>
      <c r="CH153" s="1">
        <v>90563</v>
      </c>
      <c r="CI153" s="1">
        <v>676</v>
      </c>
      <c r="CJ153" s="1">
        <v>2436451</v>
      </c>
      <c r="CK153" s="1">
        <v>204028</v>
      </c>
      <c r="CL153" s="1"/>
      <c r="CM153" s="1"/>
      <c r="CN153" s="1">
        <v>48</v>
      </c>
      <c r="CO153" s="1">
        <v>69359</v>
      </c>
      <c r="CP153" s="1">
        <v>1928403</v>
      </c>
      <c r="CQ153" s="1">
        <v>93057</v>
      </c>
      <c r="CR153" s="1">
        <v>508000</v>
      </c>
      <c r="CS153" s="1">
        <v>41612</v>
      </c>
      <c r="CT153" s="1"/>
      <c r="CU153" s="1"/>
      <c r="CV153" s="1"/>
      <c r="CW153" s="1"/>
      <c r="CX153" s="2">
        <v>32467069</v>
      </c>
      <c r="CY153" s="1">
        <v>15917182</v>
      </c>
      <c r="CZ153" s="1">
        <v>37577266</v>
      </c>
      <c r="DA153" s="1">
        <v>23364543</v>
      </c>
      <c r="DB153" s="1">
        <v>2916798</v>
      </c>
      <c r="DC153" s="1">
        <v>2916798</v>
      </c>
      <c r="DD153" s="1"/>
      <c r="DE153" s="1"/>
      <c r="DF153" s="1">
        <v>1623207</v>
      </c>
      <c r="DG153" s="1">
        <v>1613651</v>
      </c>
      <c r="DH153" s="1"/>
      <c r="DI153" s="1"/>
      <c r="DJ153" s="1">
        <v>5252</v>
      </c>
      <c r="DK153" s="1">
        <v>506154</v>
      </c>
      <c r="DL153" s="24">
        <v>7385000</v>
      </c>
      <c r="DM153" s="24">
        <v>7385000</v>
      </c>
      <c r="DN153" s="1">
        <v>192911</v>
      </c>
      <c r="DO153" s="1">
        <v>192911</v>
      </c>
      <c r="DP153" s="2">
        <v>12123168</v>
      </c>
      <c r="DQ153" s="1">
        <v>12614514</v>
      </c>
      <c r="DR153" s="2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2">
        <v>25454098</v>
      </c>
      <c r="EQ153" s="1">
        <v>10750029</v>
      </c>
      <c r="ER153" s="1">
        <v>25454098</v>
      </c>
      <c r="ES153" s="1">
        <v>10750029</v>
      </c>
      <c r="ET153" s="1"/>
      <c r="EU153" s="1"/>
      <c r="EV153" s="1">
        <v>21370260</v>
      </c>
      <c r="EW153" s="1">
        <v>8150318</v>
      </c>
      <c r="EX153" s="1"/>
      <c r="EY153" s="1"/>
      <c r="EZ153" s="1">
        <v>3501516</v>
      </c>
      <c r="FA153" s="1">
        <v>278178</v>
      </c>
      <c r="FB153" s="1"/>
      <c r="FC153" s="1"/>
      <c r="FD153" s="1"/>
      <c r="FE153" s="1"/>
      <c r="FF153" s="1"/>
      <c r="FG153" s="1"/>
      <c r="FH153" s="1">
        <v>56225</v>
      </c>
      <c r="FI153" s="1">
        <v>32769</v>
      </c>
      <c r="FJ153" s="1">
        <v>34455</v>
      </c>
      <c r="FK153" s="1">
        <v>1105999</v>
      </c>
      <c r="FL153" s="1"/>
      <c r="FM153" s="1"/>
      <c r="FN153" s="1">
        <v>235706</v>
      </c>
      <c r="FO153" s="1">
        <v>578980</v>
      </c>
      <c r="FP153" s="1">
        <v>15373</v>
      </c>
      <c r="FQ153" s="1">
        <v>18904</v>
      </c>
      <c r="FR153" s="1">
        <v>149147</v>
      </c>
      <c r="FS153" s="1">
        <v>348367</v>
      </c>
      <c r="FT153" s="1"/>
      <c r="FU153" s="1"/>
      <c r="FV153" s="1"/>
      <c r="FW153" s="1"/>
      <c r="FX153" s="1"/>
      <c r="FY153" s="1"/>
      <c r="FZ153" s="1">
        <v>91416</v>
      </c>
      <c r="GA153" s="1">
        <v>236514</v>
      </c>
      <c r="GB153" s="1">
        <v>25454098</v>
      </c>
      <c r="GC153" s="1">
        <v>10750029</v>
      </c>
      <c r="GD153" s="1">
        <v>37577266</v>
      </c>
      <c r="GE153" s="1">
        <v>23364543</v>
      </c>
      <c r="GF153" s="14">
        <f t="shared" ref="GF153" si="6">GE153-DA153</f>
        <v>0</v>
      </c>
    </row>
    <row r="154" spans="1:188" x14ac:dyDescent="0.25">
      <c r="A154" s="1">
        <v>20006</v>
      </c>
      <c r="B154" s="1">
        <v>0</v>
      </c>
      <c r="C154" s="1">
        <v>200125756</v>
      </c>
      <c r="D154" s="1" t="s">
        <v>154</v>
      </c>
      <c r="E154" s="1">
        <v>30</v>
      </c>
      <c r="F154" s="1">
        <v>11</v>
      </c>
      <c r="G154" s="1">
        <v>0</v>
      </c>
      <c r="H154" s="1">
        <v>1</v>
      </c>
      <c r="I154" s="1">
        <v>2021</v>
      </c>
      <c r="J154" s="1">
        <v>4</v>
      </c>
      <c r="K154" s="1" t="s">
        <v>0</v>
      </c>
      <c r="L154" s="1">
        <v>1</v>
      </c>
      <c r="M154" s="1">
        <v>30</v>
      </c>
      <c r="N154" s="1">
        <v>0</v>
      </c>
      <c r="O154" s="1">
        <v>44606.618842592594</v>
      </c>
      <c r="P154" s="1">
        <v>6722401</v>
      </c>
      <c r="Q154" s="1">
        <v>7676453.2000000002</v>
      </c>
      <c r="R154" s="1">
        <v>5463608</v>
      </c>
      <c r="S154" s="1">
        <v>5409288.7000000002</v>
      </c>
      <c r="T154" s="1">
        <v>1258793</v>
      </c>
      <c r="U154" s="1">
        <v>2267164.5</v>
      </c>
      <c r="V154" s="1">
        <v>37000</v>
      </c>
      <c r="W154" s="1">
        <v>37000</v>
      </c>
      <c r="X154" s="1">
        <v>33300</v>
      </c>
      <c r="Y154" s="1">
        <v>37000</v>
      </c>
      <c r="Z154" s="1">
        <v>3700</v>
      </c>
      <c r="AA154" s="1">
        <v>0</v>
      </c>
      <c r="AB154" s="1">
        <v>2264241.2000000002</v>
      </c>
      <c r="AC154" s="1">
        <v>1434240.9</v>
      </c>
      <c r="AD154" s="1">
        <v>53055</v>
      </c>
      <c r="AE154" s="1">
        <v>53055</v>
      </c>
      <c r="AF154" s="1"/>
      <c r="AG154" s="1"/>
      <c r="AH154" s="1">
        <v>1047140</v>
      </c>
      <c r="AI154" s="1">
        <v>1117139.7</v>
      </c>
      <c r="AJ154" s="1"/>
      <c r="AK154" s="1"/>
      <c r="AL154" s="1">
        <v>1164046.2</v>
      </c>
      <c r="AM154" s="1">
        <v>264046.2</v>
      </c>
      <c r="AN154" s="1">
        <v>31399.5</v>
      </c>
      <c r="AO154" s="1">
        <v>31399.5</v>
      </c>
      <c r="AP154" s="1">
        <v>35188.400000000001</v>
      </c>
      <c r="AQ154" s="1"/>
      <c r="AR154" s="1"/>
      <c r="AS154" s="1"/>
      <c r="AT154" s="1"/>
      <c r="AU154" s="1"/>
      <c r="AV154" s="2">
        <v>3593322.1</v>
      </c>
      <c r="AW154" s="1">
        <v>3732804.9</v>
      </c>
      <c r="AX154" s="1">
        <v>32968462.100000001</v>
      </c>
      <c r="AY154" s="1">
        <v>28386543.399999999</v>
      </c>
      <c r="AZ154" s="1">
        <v>30771905.699999999</v>
      </c>
      <c r="BA154" s="1">
        <v>26289912.399999999</v>
      </c>
      <c r="BB154" s="1"/>
      <c r="BC154" s="1"/>
      <c r="BD154" s="1">
        <v>2154744.2999999998</v>
      </c>
      <c r="BE154" s="1">
        <v>1770870.4</v>
      </c>
      <c r="BF154" s="1">
        <v>41812.1</v>
      </c>
      <c r="BG154" s="1">
        <v>325760.59999999998</v>
      </c>
      <c r="BH154" s="1"/>
      <c r="BI154" s="1"/>
      <c r="BJ154" s="1"/>
      <c r="BK154" s="1"/>
      <c r="BL154" s="1">
        <v>11229187.1</v>
      </c>
      <c r="BM154" s="1">
        <v>13990314.17</v>
      </c>
      <c r="BN154" s="1"/>
      <c r="BO154" s="1"/>
      <c r="BP154" s="1">
        <v>801020.1</v>
      </c>
      <c r="BQ154" s="1">
        <v>780063</v>
      </c>
      <c r="BR154" s="1"/>
      <c r="BS154" s="1"/>
      <c r="BT154" s="1"/>
      <c r="BU154" s="1"/>
      <c r="BV154" s="1">
        <v>4055.5</v>
      </c>
      <c r="BW154" s="1">
        <v>7870.5</v>
      </c>
      <c r="BX154" s="1">
        <v>8716661.5</v>
      </c>
      <c r="BY154" s="1">
        <v>8376423.5999999996</v>
      </c>
      <c r="BZ154" s="1">
        <v>1130423</v>
      </c>
      <c r="CA154" s="1">
        <v>4217813.57</v>
      </c>
      <c r="CB154" s="1">
        <v>216941</v>
      </c>
      <c r="CC154" s="1">
        <v>315769.2</v>
      </c>
      <c r="CD154" s="1"/>
      <c r="CE154" s="1"/>
      <c r="CF154" s="1">
        <v>303767</v>
      </c>
      <c r="CG154" s="1">
        <v>292374.3</v>
      </c>
      <c r="CH154" s="1">
        <v>56319</v>
      </c>
      <c r="CI154" s="1"/>
      <c r="CJ154" s="1">
        <v>2794284.5</v>
      </c>
      <c r="CK154" s="1">
        <v>5256272.5</v>
      </c>
      <c r="CL154" s="1"/>
      <c r="CM154" s="1"/>
      <c r="CN154" s="1">
        <v>108873.4</v>
      </c>
      <c r="CO154" s="1">
        <v>1902555.5</v>
      </c>
      <c r="CP154" s="1"/>
      <c r="CQ154" s="1"/>
      <c r="CR154" s="1">
        <v>2685411.1</v>
      </c>
      <c r="CS154" s="1">
        <v>3353717</v>
      </c>
      <c r="CT154" s="1"/>
      <c r="CU154" s="1"/>
      <c r="CV154" s="1">
        <v>852357.1</v>
      </c>
      <c r="CW154" s="1">
        <v>849769.6</v>
      </c>
      <c r="CX154" s="2">
        <v>47844290.799999997</v>
      </c>
      <c r="CY154" s="1">
        <v>48482899.670000002</v>
      </c>
      <c r="CZ154" s="1">
        <v>51437612.899999999</v>
      </c>
      <c r="DA154" s="1">
        <v>52215704.57</v>
      </c>
      <c r="DB154" s="1">
        <v>571408.30000000005</v>
      </c>
      <c r="DC154" s="1">
        <v>571408.30000000005</v>
      </c>
      <c r="DD154" s="1">
        <v>113831.4</v>
      </c>
      <c r="DE154" s="1">
        <v>113831.4</v>
      </c>
      <c r="DF154" s="1">
        <v>1508100.2</v>
      </c>
      <c r="DG154" s="1">
        <v>1485457.3</v>
      </c>
      <c r="DH154" s="1"/>
      <c r="DI154" s="1"/>
      <c r="DJ154" s="1">
        <v>-182342.7</v>
      </c>
      <c r="DK154" s="1">
        <v>587282</v>
      </c>
      <c r="DL154" s="24"/>
      <c r="DM154" s="24"/>
      <c r="DN154" s="1"/>
      <c r="DO154" s="1"/>
      <c r="DP154" s="2">
        <v>2010997.2</v>
      </c>
      <c r="DQ154" s="1">
        <v>2757979</v>
      </c>
      <c r="DR154" s="2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2">
        <v>49426615.700000003</v>
      </c>
      <c r="EQ154" s="1">
        <v>49457725.57</v>
      </c>
      <c r="ER154" s="1">
        <v>2238112.1</v>
      </c>
      <c r="ES154" s="1">
        <v>1822397.67</v>
      </c>
      <c r="ET154" s="1"/>
      <c r="EU154" s="1"/>
      <c r="EV154" s="1">
        <v>333466.2</v>
      </c>
      <c r="EW154" s="1">
        <v>466115.4</v>
      </c>
      <c r="EX154" s="1"/>
      <c r="EY154" s="1"/>
      <c r="EZ154" s="1">
        <v>945536.3</v>
      </c>
      <c r="FA154" s="1">
        <v>629483.65</v>
      </c>
      <c r="FB154" s="1"/>
      <c r="FC154" s="1"/>
      <c r="FD154" s="1"/>
      <c r="FE154" s="1"/>
      <c r="FF154" s="1"/>
      <c r="FG154" s="1"/>
      <c r="FH154" s="1">
        <v>26024.2</v>
      </c>
      <c r="FI154" s="1">
        <v>35270.5</v>
      </c>
      <c r="FJ154" s="1">
        <v>305389.40000000002</v>
      </c>
      <c r="FK154" s="1">
        <v>59661.02</v>
      </c>
      <c r="FL154" s="1"/>
      <c r="FM154" s="1"/>
      <c r="FN154" s="1">
        <v>91291.3</v>
      </c>
      <c r="FO154" s="1">
        <v>91291.3</v>
      </c>
      <c r="FP154" s="1">
        <v>4538.7</v>
      </c>
      <c r="FQ154" s="1">
        <v>2104.5</v>
      </c>
      <c r="FR154" s="1">
        <v>411684.3</v>
      </c>
      <c r="FS154" s="1">
        <v>401945.1</v>
      </c>
      <c r="FT154" s="1"/>
      <c r="FU154" s="1">
        <v>4542.1000000000004</v>
      </c>
      <c r="FV154" s="1">
        <v>47188503.600000001</v>
      </c>
      <c r="FW154" s="1">
        <v>47630785.799999997</v>
      </c>
      <c r="FX154" s="1"/>
      <c r="FY154" s="1"/>
      <c r="FZ154" s="1">
        <v>120181.7</v>
      </c>
      <c r="GA154" s="1">
        <v>136526.20000000001</v>
      </c>
      <c r="GB154" s="1">
        <v>49426615.700000003</v>
      </c>
      <c r="GC154" s="1">
        <v>49457725.57</v>
      </c>
      <c r="GD154" s="1">
        <v>51437612.899999999</v>
      </c>
      <c r="GE154" s="1">
        <v>52215704.57</v>
      </c>
    </row>
    <row r="155" spans="1:188" x14ac:dyDescent="0.25">
      <c r="A155" s="1">
        <v>20006</v>
      </c>
      <c r="B155" s="1">
        <v>0</v>
      </c>
      <c r="C155" s="1">
        <v>200125756</v>
      </c>
      <c r="D155" s="1" t="s">
        <v>154</v>
      </c>
      <c r="E155" s="1">
        <v>30</v>
      </c>
      <c r="F155" s="1">
        <v>11</v>
      </c>
      <c r="G155" s="1">
        <v>0</v>
      </c>
      <c r="H155" s="1">
        <v>1</v>
      </c>
      <c r="I155" s="1">
        <v>2020</v>
      </c>
      <c r="J155" s="1">
        <v>4</v>
      </c>
      <c r="K155" s="1" t="s">
        <v>0</v>
      </c>
      <c r="L155" s="1">
        <v>1</v>
      </c>
      <c r="M155" s="1">
        <v>30</v>
      </c>
      <c r="N155" s="1">
        <v>0</v>
      </c>
      <c r="O155" s="1">
        <v>44235.468229166669</v>
      </c>
      <c r="P155" s="1">
        <v>7070005</v>
      </c>
      <c r="Q155" s="1">
        <v>6722401</v>
      </c>
      <c r="R155" s="1">
        <v>6046173</v>
      </c>
      <c r="S155" s="1">
        <v>5463608</v>
      </c>
      <c r="T155" s="1">
        <v>1023832</v>
      </c>
      <c r="U155" s="1">
        <v>1258793</v>
      </c>
      <c r="V155" s="1">
        <v>37000</v>
      </c>
      <c r="W155" s="1">
        <v>37000</v>
      </c>
      <c r="X155" s="1">
        <v>25900</v>
      </c>
      <c r="Y155" s="1">
        <v>33300</v>
      </c>
      <c r="Z155" s="1">
        <v>11100</v>
      </c>
      <c r="AA155" s="1">
        <v>3700</v>
      </c>
      <c r="AB155" s="1">
        <v>1373488</v>
      </c>
      <c r="AC155" s="1">
        <v>2264241</v>
      </c>
      <c r="AD155" s="1">
        <v>53055</v>
      </c>
      <c r="AE155" s="1">
        <v>53055</v>
      </c>
      <c r="AF155" s="1">
        <v>59248</v>
      </c>
      <c r="AG155" s="1"/>
      <c r="AH155" s="1">
        <v>997139</v>
      </c>
      <c r="AI155" s="1">
        <v>1047140</v>
      </c>
      <c r="AJ155" s="1"/>
      <c r="AK155" s="1"/>
      <c r="AL155" s="1">
        <v>264046</v>
      </c>
      <c r="AM155" s="1">
        <v>1164046</v>
      </c>
      <c r="AN155" s="1">
        <v>29263</v>
      </c>
      <c r="AO155" s="1">
        <v>31400</v>
      </c>
      <c r="AP155" s="1">
        <v>34414</v>
      </c>
      <c r="AQ155" s="1">
        <v>35188</v>
      </c>
      <c r="AR155" s="1"/>
      <c r="AS155" s="1"/>
      <c r="AT155" s="1"/>
      <c r="AU155" s="1"/>
      <c r="AV155" s="2">
        <v>2472097</v>
      </c>
      <c r="AW155" s="1">
        <v>3593322</v>
      </c>
      <c r="AX155" s="1">
        <v>35339632</v>
      </c>
      <c r="AY155" s="1">
        <v>32968462</v>
      </c>
      <c r="AZ155" s="1">
        <v>33446576</v>
      </c>
      <c r="BA155" s="1">
        <v>30771906</v>
      </c>
      <c r="BB155" s="1"/>
      <c r="BC155" s="1"/>
      <c r="BD155" s="1">
        <v>1742000</v>
      </c>
      <c r="BE155" s="1">
        <v>2154744</v>
      </c>
      <c r="BF155" s="1">
        <v>151056</v>
      </c>
      <c r="BG155" s="1">
        <v>41812</v>
      </c>
      <c r="BH155" s="1"/>
      <c r="BI155" s="1"/>
      <c r="BJ155" s="1"/>
      <c r="BK155" s="1"/>
      <c r="BL155" s="1">
        <v>15033741</v>
      </c>
      <c r="BM155" s="1">
        <v>11229186</v>
      </c>
      <c r="BN155" s="1"/>
      <c r="BO155" s="1"/>
      <c r="BP155" s="1">
        <v>1009224</v>
      </c>
      <c r="BQ155" s="1">
        <v>801020</v>
      </c>
      <c r="BR155" s="1"/>
      <c r="BS155" s="1"/>
      <c r="BT155" s="1"/>
      <c r="BU155" s="1"/>
      <c r="BV155" s="1">
        <v>4613</v>
      </c>
      <c r="BW155" s="1">
        <v>4055</v>
      </c>
      <c r="BX155" s="1">
        <v>12111019</v>
      </c>
      <c r="BY155" s="1">
        <v>8716661</v>
      </c>
      <c r="BZ155" s="1">
        <v>1204889</v>
      </c>
      <c r="CA155" s="1">
        <v>1130423</v>
      </c>
      <c r="CB155" s="1">
        <v>372092</v>
      </c>
      <c r="CC155" s="1">
        <v>216941</v>
      </c>
      <c r="CD155" s="1"/>
      <c r="CE155" s="1"/>
      <c r="CF155" s="1">
        <v>307127</v>
      </c>
      <c r="CG155" s="1">
        <v>303767</v>
      </c>
      <c r="CH155" s="1">
        <v>24777</v>
      </c>
      <c r="CI155" s="1">
        <v>56319</v>
      </c>
      <c r="CJ155" s="1">
        <v>933327</v>
      </c>
      <c r="CK155" s="1">
        <v>2794284</v>
      </c>
      <c r="CL155" s="1"/>
      <c r="CM155" s="1"/>
      <c r="CN155" s="1">
        <v>216069</v>
      </c>
      <c r="CO155" s="1">
        <v>108873</v>
      </c>
      <c r="CP155" s="1">
        <v>295026</v>
      </c>
      <c r="CQ155" s="1"/>
      <c r="CR155" s="1">
        <v>422232</v>
      </c>
      <c r="CS155" s="1">
        <v>2685411</v>
      </c>
      <c r="CT155" s="1"/>
      <c r="CU155" s="1"/>
      <c r="CV155" s="1">
        <v>854652</v>
      </c>
      <c r="CW155" s="1">
        <v>852357</v>
      </c>
      <c r="CX155" s="2">
        <v>52161352</v>
      </c>
      <c r="CY155" s="1">
        <v>47844289</v>
      </c>
      <c r="CZ155" s="1">
        <v>54633449</v>
      </c>
      <c r="DA155" s="1">
        <v>51437611</v>
      </c>
      <c r="DB155" s="1">
        <v>571408</v>
      </c>
      <c r="DC155" s="1">
        <v>571408</v>
      </c>
      <c r="DD155" s="1">
        <v>113831</v>
      </c>
      <c r="DE155" s="1">
        <v>113831</v>
      </c>
      <c r="DF155" s="1">
        <v>1515035</v>
      </c>
      <c r="DG155" s="1">
        <v>1508100</v>
      </c>
      <c r="DH155" s="1"/>
      <c r="DI155" s="1"/>
      <c r="DJ155" s="1">
        <v>-6131123</v>
      </c>
      <c r="DK155" s="1">
        <v>-182343</v>
      </c>
      <c r="DL155" s="24"/>
      <c r="DM155" s="24"/>
      <c r="DN155" s="1"/>
      <c r="DO155" s="1"/>
      <c r="DP155" s="2">
        <v>-3930849</v>
      </c>
      <c r="DQ155" s="1">
        <v>2010996</v>
      </c>
      <c r="DR155" s="2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2">
        <v>58564298</v>
      </c>
      <c r="EQ155" s="1">
        <v>49426615</v>
      </c>
      <c r="ER155" s="1">
        <v>12938205</v>
      </c>
      <c r="ES155" s="1">
        <v>2238111</v>
      </c>
      <c r="ET155" s="1"/>
      <c r="EU155" s="1"/>
      <c r="EV155" s="1">
        <v>1459337</v>
      </c>
      <c r="EW155" s="1">
        <v>333466</v>
      </c>
      <c r="EX155" s="1"/>
      <c r="EY155" s="1"/>
      <c r="EZ155" s="1">
        <v>10348585</v>
      </c>
      <c r="FA155" s="1">
        <v>945536</v>
      </c>
      <c r="FB155" s="1"/>
      <c r="FC155" s="1"/>
      <c r="FD155" s="1"/>
      <c r="FE155" s="1"/>
      <c r="FF155" s="1"/>
      <c r="FG155" s="1"/>
      <c r="FH155" s="1">
        <v>71618</v>
      </c>
      <c r="FI155" s="1">
        <v>26024</v>
      </c>
      <c r="FJ155" s="1">
        <v>254988</v>
      </c>
      <c r="FK155" s="1">
        <v>305389</v>
      </c>
      <c r="FL155" s="1"/>
      <c r="FM155" s="1"/>
      <c r="FN155" s="1">
        <v>320157</v>
      </c>
      <c r="FO155" s="1">
        <v>91291</v>
      </c>
      <c r="FP155" s="1">
        <v>15171</v>
      </c>
      <c r="FQ155" s="1">
        <v>4539</v>
      </c>
      <c r="FR155" s="1">
        <v>374106</v>
      </c>
      <c r="FS155" s="1">
        <v>411684</v>
      </c>
      <c r="FT155" s="1">
        <v>1076426</v>
      </c>
      <c r="FU155" s="1"/>
      <c r="FV155" s="1">
        <v>44549667</v>
      </c>
      <c r="FW155" s="1">
        <v>47188504</v>
      </c>
      <c r="FX155" s="1"/>
      <c r="FY155" s="1"/>
      <c r="FZ155" s="1">
        <v>94243</v>
      </c>
      <c r="GA155" s="1">
        <v>120182</v>
      </c>
      <c r="GB155" s="1">
        <v>58564298</v>
      </c>
      <c r="GC155" s="1">
        <v>49426615</v>
      </c>
      <c r="GD155" s="1">
        <v>54633449</v>
      </c>
      <c r="GE155" s="1">
        <v>51437611</v>
      </c>
    </row>
    <row r="156" spans="1:188" x14ac:dyDescent="0.25">
      <c r="A156" s="1">
        <v>20006</v>
      </c>
      <c r="B156" s="1">
        <v>0</v>
      </c>
      <c r="C156" s="1">
        <v>200125756</v>
      </c>
      <c r="D156" s="1" t="s">
        <v>154</v>
      </c>
      <c r="E156" s="1">
        <v>30</v>
      </c>
      <c r="F156" s="1">
        <v>11</v>
      </c>
      <c r="G156" s="1">
        <v>0</v>
      </c>
      <c r="H156" s="1">
        <v>1</v>
      </c>
      <c r="I156" s="1">
        <v>2019</v>
      </c>
      <c r="J156" s="1">
        <v>4</v>
      </c>
      <c r="K156" s="1" t="s">
        <v>0</v>
      </c>
      <c r="L156" s="1">
        <v>1</v>
      </c>
      <c r="M156" s="1">
        <v>30</v>
      </c>
      <c r="N156" s="1">
        <v>0</v>
      </c>
      <c r="O156" s="1">
        <v>43875.631597222222</v>
      </c>
      <c r="P156" s="1">
        <v>7094740</v>
      </c>
      <c r="Q156" s="1">
        <v>7070005</v>
      </c>
      <c r="R156" s="1">
        <v>5981086</v>
      </c>
      <c r="S156" s="1">
        <v>6046173</v>
      </c>
      <c r="T156" s="1">
        <v>1113654</v>
      </c>
      <c r="U156" s="1">
        <v>1023832</v>
      </c>
      <c r="V156" s="1">
        <v>37000</v>
      </c>
      <c r="W156" s="1">
        <v>37000</v>
      </c>
      <c r="X156" s="1">
        <v>18500</v>
      </c>
      <c r="Y156" s="1">
        <v>25900</v>
      </c>
      <c r="Z156" s="1">
        <v>18500</v>
      </c>
      <c r="AA156" s="1">
        <v>11100</v>
      </c>
      <c r="AB156" s="1">
        <v>1373488</v>
      </c>
      <c r="AC156" s="1">
        <v>1373488</v>
      </c>
      <c r="AD156" s="1">
        <v>53055</v>
      </c>
      <c r="AE156" s="1">
        <v>53055</v>
      </c>
      <c r="AF156" s="1">
        <v>59248</v>
      </c>
      <c r="AG156" s="1">
        <v>59248</v>
      </c>
      <c r="AH156" s="1">
        <v>997139</v>
      </c>
      <c r="AI156" s="1">
        <v>997139</v>
      </c>
      <c r="AJ156" s="1"/>
      <c r="AK156" s="1"/>
      <c r="AL156" s="1">
        <v>264046</v>
      </c>
      <c r="AM156" s="1">
        <v>264046</v>
      </c>
      <c r="AN156" s="1">
        <v>28030</v>
      </c>
      <c r="AO156" s="1">
        <v>29263</v>
      </c>
      <c r="AP156" s="1">
        <v>6837</v>
      </c>
      <c r="AQ156" s="1">
        <v>34414</v>
      </c>
      <c r="AR156" s="1">
        <v>855731</v>
      </c>
      <c r="AS156" s="1"/>
      <c r="AT156" s="1"/>
      <c r="AU156" s="1"/>
      <c r="AV156" s="2">
        <v>3396240</v>
      </c>
      <c r="AW156" s="1">
        <v>2472097</v>
      </c>
      <c r="AX156" s="1">
        <v>16085705</v>
      </c>
      <c r="AY156" s="1">
        <v>35339632</v>
      </c>
      <c r="AZ156" s="1">
        <v>15394631</v>
      </c>
      <c r="BA156" s="1">
        <v>33446576</v>
      </c>
      <c r="BB156" s="1"/>
      <c r="BC156" s="1"/>
      <c r="BD156" s="1">
        <v>230313</v>
      </c>
      <c r="BE156" s="1">
        <v>1742000</v>
      </c>
      <c r="BF156" s="1">
        <v>460761</v>
      </c>
      <c r="BG156" s="1">
        <v>151056</v>
      </c>
      <c r="BH156" s="1"/>
      <c r="BI156" s="1"/>
      <c r="BJ156" s="1"/>
      <c r="BK156" s="1"/>
      <c r="BL156" s="1">
        <v>10396966</v>
      </c>
      <c r="BM156" s="1">
        <v>15033741</v>
      </c>
      <c r="BN156" s="1"/>
      <c r="BO156" s="1"/>
      <c r="BP156" s="1">
        <v>805546</v>
      </c>
      <c r="BQ156" s="1">
        <v>1009224</v>
      </c>
      <c r="BR156" s="1"/>
      <c r="BS156" s="1"/>
      <c r="BT156" s="1"/>
      <c r="BU156" s="1"/>
      <c r="BV156" s="1"/>
      <c r="BW156" s="1">
        <v>4613</v>
      </c>
      <c r="BX156" s="1">
        <v>8012405</v>
      </c>
      <c r="BY156" s="1">
        <v>12111019</v>
      </c>
      <c r="BZ156" s="1">
        <v>443356</v>
      </c>
      <c r="CA156" s="1">
        <v>1204889</v>
      </c>
      <c r="CB156" s="1">
        <v>9707</v>
      </c>
      <c r="CC156" s="1">
        <v>372092</v>
      </c>
      <c r="CD156" s="1"/>
      <c r="CE156" s="1"/>
      <c r="CF156" s="1">
        <v>469957</v>
      </c>
      <c r="CG156" s="1">
        <v>307127</v>
      </c>
      <c r="CH156" s="1">
        <v>655995</v>
      </c>
      <c r="CI156" s="1">
        <v>24777</v>
      </c>
      <c r="CJ156" s="1">
        <v>88399</v>
      </c>
      <c r="CK156" s="1">
        <v>933327</v>
      </c>
      <c r="CL156" s="1"/>
      <c r="CM156" s="1"/>
      <c r="CN156" s="1"/>
      <c r="CO156" s="1">
        <v>216069</v>
      </c>
      <c r="CP156" s="1"/>
      <c r="CQ156" s="1">
        <v>295026</v>
      </c>
      <c r="CR156" s="1">
        <v>88399</v>
      </c>
      <c r="CS156" s="1">
        <v>422232</v>
      </c>
      <c r="CT156" s="1"/>
      <c r="CU156" s="1"/>
      <c r="CV156" s="1"/>
      <c r="CW156" s="1">
        <v>854652</v>
      </c>
      <c r="CX156" s="2">
        <v>26571070</v>
      </c>
      <c r="CY156" s="1">
        <v>52161352</v>
      </c>
      <c r="CZ156" s="1">
        <v>29967310</v>
      </c>
      <c r="DA156" s="1">
        <v>54633449</v>
      </c>
      <c r="DB156" s="1">
        <v>571408</v>
      </c>
      <c r="DC156" s="1">
        <v>571408</v>
      </c>
      <c r="DD156" s="1">
        <v>113831</v>
      </c>
      <c r="DE156" s="1">
        <v>113831</v>
      </c>
      <c r="DF156" s="1">
        <v>1510303</v>
      </c>
      <c r="DG156" s="1">
        <v>1515035</v>
      </c>
      <c r="DH156" s="1"/>
      <c r="DI156" s="1"/>
      <c r="DJ156" s="1">
        <v>-11836509</v>
      </c>
      <c r="DK156" s="1">
        <v>-6131123</v>
      </c>
      <c r="DL156" s="24"/>
      <c r="DM156" s="24"/>
      <c r="DN156" s="1"/>
      <c r="DO156" s="1"/>
      <c r="DP156" s="2">
        <v>-9640967</v>
      </c>
      <c r="DQ156" s="1">
        <v>-3930849</v>
      </c>
      <c r="DR156" s="2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2">
        <v>39607277</v>
      </c>
      <c r="EQ156" s="1">
        <v>58564298</v>
      </c>
      <c r="ER156" s="1">
        <v>14868773</v>
      </c>
      <c r="ES156" s="1">
        <v>12938205</v>
      </c>
      <c r="ET156" s="1"/>
      <c r="EU156" s="1"/>
      <c r="EV156" s="1">
        <v>165284</v>
      </c>
      <c r="EW156" s="1">
        <v>1459337</v>
      </c>
      <c r="EX156" s="1"/>
      <c r="EY156" s="1"/>
      <c r="EZ156" s="1">
        <v>6373237</v>
      </c>
      <c r="FA156" s="1">
        <v>10348585</v>
      </c>
      <c r="FB156" s="1"/>
      <c r="FC156" s="1"/>
      <c r="FD156" s="1"/>
      <c r="FE156" s="1"/>
      <c r="FF156" s="1"/>
      <c r="FG156" s="1"/>
      <c r="FH156" s="1"/>
      <c r="FI156" s="1">
        <v>71618</v>
      </c>
      <c r="FJ156" s="1">
        <v>3043304</v>
      </c>
      <c r="FK156" s="1">
        <v>254988</v>
      </c>
      <c r="FL156" s="1"/>
      <c r="FM156" s="1"/>
      <c r="FN156" s="1">
        <v>3232848</v>
      </c>
      <c r="FO156" s="1">
        <v>320157</v>
      </c>
      <c r="FP156" s="1">
        <v>27006</v>
      </c>
      <c r="FQ156" s="1">
        <v>15171</v>
      </c>
      <c r="FR156" s="1">
        <v>248185</v>
      </c>
      <c r="FS156" s="1">
        <v>374106</v>
      </c>
      <c r="FT156" s="1">
        <v>413997</v>
      </c>
      <c r="FU156" s="1">
        <v>1076426</v>
      </c>
      <c r="FV156" s="1">
        <v>24324507</v>
      </c>
      <c r="FW156" s="1">
        <v>44549667</v>
      </c>
      <c r="FX156" s="1"/>
      <c r="FY156" s="1"/>
      <c r="FZ156" s="1">
        <v>1778909</v>
      </c>
      <c r="GA156" s="1">
        <v>94243</v>
      </c>
      <c r="GB156" s="1">
        <v>39607277</v>
      </c>
      <c r="GC156" s="1">
        <v>58564298</v>
      </c>
      <c r="GD156" s="1">
        <v>29966310</v>
      </c>
      <c r="GE156" s="1">
        <v>54633449</v>
      </c>
    </row>
    <row r="157" spans="1:188" x14ac:dyDescent="0.25">
      <c r="A157" s="1">
        <v>20006</v>
      </c>
      <c r="B157" s="1">
        <v>0</v>
      </c>
      <c r="C157" s="3">
        <v>200125756</v>
      </c>
      <c r="D157" s="3" t="s">
        <v>154</v>
      </c>
      <c r="E157" s="4">
        <v>30</v>
      </c>
      <c r="F157" s="4">
        <v>11</v>
      </c>
      <c r="G157" s="4">
        <v>0</v>
      </c>
      <c r="H157" s="4">
        <v>1</v>
      </c>
      <c r="I157" s="1">
        <v>2018</v>
      </c>
      <c r="J157" s="1">
        <v>4</v>
      </c>
      <c r="K157" s="3" t="s">
        <v>0</v>
      </c>
      <c r="L157" s="1">
        <v>2</v>
      </c>
      <c r="M157" s="1">
        <v>30</v>
      </c>
      <c r="N157" s="5">
        <v>0</v>
      </c>
      <c r="O157" s="6">
        <v>43553.578923611109</v>
      </c>
      <c r="P157" s="1">
        <v>6700748</v>
      </c>
      <c r="Q157" s="1">
        <v>6762750</v>
      </c>
      <c r="R157" s="1">
        <v>6147350</v>
      </c>
      <c r="S157" s="1">
        <v>5688510</v>
      </c>
      <c r="T157" s="1">
        <v>553398</v>
      </c>
      <c r="U157" s="1">
        <v>1074240</v>
      </c>
      <c r="V157" s="1">
        <v>37000</v>
      </c>
      <c r="W157" s="1">
        <v>37000</v>
      </c>
      <c r="X157" s="1">
        <v>11100</v>
      </c>
      <c r="Y157" s="1">
        <v>18500</v>
      </c>
      <c r="Z157" s="1">
        <v>25900</v>
      </c>
      <c r="AA157" s="1">
        <v>18500</v>
      </c>
      <c r="AB157" s="1">
        <v>663916</v>
      </c>
      <c r="AC157" s="1">
        <v>1373488</v>
      </c>
      <c r="AD157" s="1">
        <v>53055</v>
      </c>
      <c r="AE157" s="1">
        <v>53055</v>
      </c>
      <c r="AF157" s="1">
        <v>59248</v>
      </c>
      <c r="AG157" s="1">
        <v>59248</v>
      </c>
      <c r="AH157" s="1">
        <v>530613</v>
      </c>
      <c r="AI157" s="1">
        <v>997139</v>
      </c>
      <c r="AJ157" s="1"/>
      <c r="AK157" s="1"/>
      <c r="AL157" s="1">
        <v>21000</v>
      </c>
      <c r="AM157" s="1">
        <v>264046</v>
      </c>
      <c r="AN157" s="1">
        <v>28030</v>
      </c>
      <c r="AO157" s="1">
        <v>28030</v>
      </c>
      <c r="AP157" s="1">
        <v>70937</v>
      </c>
      <c r="AQ157" s="1">
        <v>6837</v>
      </c>
      <c r="AR157" s="1">
        <v>866643</v>
      </c>
      <c r="AS157" s="1">
        <v>855731</v>
      </c>
      <c r="AT157" s="1"/>
      <c r="AU157" s="1"/>
      <c r="AV157" s="2">
        <v>2208824</v>
      </c>
      <c r="AW157" s="1">
        <v>3356826</v>
      </c>
      <c r="AX157" s="1">
        <v>9379356</v>
      </c>
      <c r="AY157" s="1">
        <v>16085705</v>
      </c>
      <c r="AZ157" s="1">
        <v>8334053</v>
      </c>
      <c r="BA157" s="1">
        <v>15394631</v>
      </c>
      <c r="BB157" s="1"/>
      <c r="BC157" s="1"/>
      <c r="BD157" s="1">
        <v>682782</v>
      </c>
      <c r="BE157" s="1">
        <v>230313</v>
      </c>
      <c r="BF157" s="1">
        <v>362521</v>
      </c>
      <c r="BG157" s="1">
        <v>460761</v>
      </c>
      <c r="BH157" s="1">
        <v>1322064</v>
      </c>
      <c r="BI157" s="1"/>
      <c r="BJ157" s="1"/>
      <c r="BK157" s="1"/>
      <c r="BL157" s="1">
        <v>9211286</v>
      </c>
      <c r="BM157" s="1">
        <v>10396966</v>
      </c>
      <c r="BN157" s="1"/>
      <c r="BO157" s="1"/>
      <c r="BP157" s="1">
        <v>1179523</v>
      </c>
      <c r="BQ157" s="1">
        <v>805546</v>
      </c>
      <c r="BR157" s="1"/>
      <c r="BS157" s="1"/>
      <c r="BT157" s="1">
        <v>86966</v>
      </c>
      <c r="BU157" s="1"/>
      <c r="BV157" s="1"/>
      <c r="BW157" s="1"/>
      <c r="BX157" s="1">
        <v>6725261</v>
      </c>
      <c r="BY157" s="1">
        <v>8012405</v>
      </c>
      <c r="BZ157" s="1"/>
      <c r="CA157" s="1">
        <v>443356</v>
      </c>
      <c r="CB157" s="1"/>
      <c r="CC157" s="1">
        <v>9707</v>
      </c>
      <c r="CD157" s="1"/>
      <c r="CE157" s="1"/>
      <c r="CF157" s="1">
        <v>502844</v>
      </c>
      <c r="CG157" s="1">
        <v>469957</v>
      </c>
      <c r="CH157" s="1">
        <v>716692</v>
      </c>
      <c r="CI157" s="1">
        <v>655995</v>
      </c>
      <c r="CJ157" s="1">
        <v>115915</v>
      </c>
      <c r="CK157" s="1">
        <v>88399</v>
      </c>
      <c r="CL157" s="1"/>
      <c r="CM157" s="1"/>
      <c r="CN157" s="1">
        <v>7819</v>
      </c>
      <c r="CO157" s="1"/>
      <c r="CP157" s="1"/>
      <c r="CQ157" s="1"/>
      <c r="CR157" s="1">
        <v>108096</v>
      </c>
      <c r="CS157" s="1">
        <v>88399</v>
      </c>
      <c r="CT157" s="1"/>
      <c r="CU157" s="1"/>
      <c r="CV157" s="1"/>
      <c r="CW157" s="1"/>
      <c r="CX157" s="2">
        <v>20028621</v>
      </c>
      <c r="CY157" s="1">
        <v>26571070</v>
      </c>
      <c r="CZ157" s="1">
        <v>22237445</v>
      </c>
      <c r="DA157" s="1">
        <v>29927896</v>
      </c>
      <c r="DB157" s="1">
        <v>571408</v>
      </c>
      <c r="DC157" s="1">
        <v>571408</v>
      </c>
      <c r="DD157" s="1">
        <v>113831</v>
      </c>
      <c r="DE157" s="1">
        <v>113831</v>
      </c>
      <c r="DF157" s="1">
        <v>1024466</v>
      </c>
      <c r="DG157" s="1">
        <v>1470889</v>
      </c>
      <c r="DH157" s="1"/>
      <c r="DI157" s="1"/>
      <c r="DJ157" s="1">
        <v>-13475517</v>
      </c>
      <c r="DK157" s="1">
        <v>-11836509</v>
      </c>
      <c r="DL157" s="24"/>
      <c r="DM157" s="24"/>
      <c r="DN157" s="1"/>
      <c r="DO157" s="1"/>
      <c r="DP157" s="2">
        <v>-11765812</v>
      </c>
      <c r="DQ157" s="1">
        <v>-9680381</v>
      </c>
      <c r="DR157" s="2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2">
        <v>34003257</v>
      </c>
      <c r="EQ157" s="1">
        <v>39608277</v>
      </c>
      <c r="ER157" s="1">
        <v>13345123</v>
      </c>
      <c r="ES157" s="1">
        <v>14869773</v>
      </c>
      <c r="ET157" s="1"/>
      <c r="EU157" s="1"/>
      <c r="EV157" s="1">
        <v>386686</v>
      </c>
      <c r="EW157" s="1">
        <v>165284</v>
      </c>
      <c r="EX157" s="1"/>
      <c r="EY157" s="1"/>
      <c r="EZ157" s="1">
        <v>2488548</v>
      </c>
      <c r="FA157" s="1">
        <v>6373237</v>
      </c>
      <c r="FB157" s="1"/>
      <c r="FC157" s="1"/>
      <c r="FD157" s="1">
        <v>7456143</v>
      </c>
      <c r="FE157" s="1"/>
      <c r="FF157" s="1"/>
      <c r="FG157" s="1"/>
      <c r="FH157" s="1"/>
      <c r="FI157" s="1"/>
      <c r="FJ157" s="1">
        <v>40836</v>
      </c>
      <c r="FK157" s="1">
        <v>3043304</v>
      </c>
      <c r="FL157" s="1"/>
      <c r="FM157" s="1"/>
      <c r="FN157" s="1">
        <v>1570760</v>
      </c>
      <c r="FO157" s="1">
        <v>3232848</v>
      </c>
      <c r="FP157" s="1">
        <v>43669</v>
      </c>
      <c r="FQ157" s="1">
        <v>27006</v>
      </c>
      <c r="FR157" s="1">
        <v>285837</v>
      </c>
      <c r="FS157" s="1">
        <v>249185</v>
      </c>
      <c r="FT157" s="1">
        <v>10445</v>
      </c>
      <c r="FU157" s="1">
        <v>413997</v>
      </c>
      <c r="FV157" s="1">
        <v>20647689</v>
      </c>
      <c r="FW157" s="1">
        <v>24324507</v>
      </c>
      <c r="FX157" s="1"/>
      <c r="FY157" s="1"/>
      <c r="FZ157" s="1">
        <v>1072644</v>
      </c>
      <c r="GA157" s="1">
        <v>1778909</v>
      </c>
      <c r="GB157" s="1">
        <v>34003257</v>
      </c>
      <c r="GC157" s="1">
        <v>39608277</v>
      </c>
      <c r="GD157" s="1">
        <v>22237445</v>
      </c>
      <c r="GE157" s="1">
        <v>29927896</v>
      </c>
    </row>
    <row r="158" spans="1:188" x14ac:dyDescent="0.25">
      <c r="A158" s="1">
        <v>20006</v>
      </c>
      <c r="B158" s="1">
        <v>0</v>
      </c>
      <c r="C158" s="1">
        <v>200127136</v>
      </c>
      <c r="D158" s="1" t="s">
        <v>155</v>
      </c>
      <c r="E158" s="1">
        <v>30</v>
      </c>
      <c r="F158" s="1">
        <v>3</v>
      </c>
      <c r="G158" s="1">
        <v>0</v>
      </c>
      <c r="H158" s="1">
        <v>1</v>
      </c>
      <c r="I158" s="1">
        <v>2021</v>
      </c>
      <c r="J158" s="1">
        <v>4</v>
      </c>
      <c r="K158" s="1" t="s">
        <v>0</v>
      </c>
      <c r="L158" s="1">
        <v>2</v>
      </c>
      <c r="M158" s="1">
        <v>30</v>
      </c>
      <c r="N158" s="1">
        <v>0</v>
      </c>
      <c r="O158" s="1">
        <v>44720.79047453704</v>
      </c>
      <c r="P158" s="1">
        <v>43068700</v>
      </c>
      <c r="Q158" s="1">
        <v>45472328</v>
      </c>
      <c r="R158" s="1">
        <v>31104872</v>
      </c>
      <c r="S158" s="1">
        <v>32123756</v>
      </c>
      <c r="T158" s="1">
        <v>11963828</v>
      </c>
      <c r="U158" s="1">
        <v>13348572</v>
      </c>
      <c r="V158" s="1"/>
      <c r="W158" s="1"/>
      <c r="X158" s="1"/>
      <c r="Y158" s="1"/>
      <c r="Z158" s="1"/>
      <c r="AA158" s="1"/>
      <c r="AB158" s="1">
        <v>248239</v>
      </c>
      <c r="AC158" s="1">
        <v>738070</v>
      </c>
      <c r="AD158" s="1">
        <v>4204</v>
      </c>
      <c r="AE158" s="1">
        <v>2004</v>
      </c>
      <c r="AF158" s="1"/>
      <c r="AG158" s="1"/>
      <c r="AH158" s="1"/>
      <c r="AI158" s="1">
        <v>492032</v>
      </c>
      <c r="AJ158" s="1">
        <v>244035</v>
      </c>
      <c r="AK158" s="1">
        <v>244034</v>
      </c>
      <c r="AL158" s="1"/>
      <c r="AM158" s="1"/>
      <c r="AN158" s="1"/>
      <c r="AO158" s="1"/>
      <c r="AP158" s="1">
        <v>204773</v>
      </c>
      <c r="AQ158" s="1"/>
      <c r="AR158" s="1"/>
      <c r="AS158" s="1"/>
      <c r="AT158" s="1"/>
      <c r="AU158" s="1"/>
      <c r="AV158" s="2">
        <v>12416840</v>
      </c>
      <c r="AW158" s="1">
        <v>14086642</v>
      </c>
      <c r="AX158" s="1">
        <v>24531754</v>
      </c>
      <c r="AY158" s="1">
        <v>31198522</v>
      </c>
      <c r="AZ158" s="1">
        <v>6796536</v>
      </c>
      <c r="BA158" s="1">
        <v>9236935</v>
      </c>
      <c r="BB158" s="1">
        <v>1746737</v>
      </c>
      <c r="BC158" s="1">
        <v>1037807</v>
      </c>
      <c r="BD158" s="1">
        <v>15988076</v>
      </c>
      <c r="BE158" s="1">
        <v>20923367</v>
      </c>
      <c r="BF158" s="1">
        <v>405</v>
      </c>
      <c r="BG158" s="1">
        <v>413</v>
      </c>
      <c r="BH158" s="1">
        <v>47713</v>
      </c>
      <c r="BI158" s="1">
        <v>39918</v>
      </c>
      <c r="BJ158" s="1">
        <v>30559798</v>
      </c>
      <c r="BK158" s="1">
        <v>32606158</v>
      </c>
      <c r="BL158" s="1">
        <v>18542388</v>
      </c>
      <c r="BM158" s="1">
        <v>11108019</v>
      </c>
      <c r="BN158" s="1"/>
      <c r="BO158" s="1"/>
      <c r="BP158" s="1">
        <v>1480914</v>
      </c>
      <c r="BQ158" s="1">
        <v>3558048</v>
      </c>
      <c r="BR158" s="1"/>
      <c r="BS158" s="1"/>
      <c r="BT158" s="1">
        <v>14690164</v>
      </c>
      <c r="BU158" s="1">
        <v>6784503</v>
      </c>
      <c r="BV158" s="1">
        <v>11854</v>
      </c>
      <c r="BW158" s="1">
        <v>25016</v>
      </c>
      <c r="BX158" s="1"/>
      <c r="BY158" s="1"/>
      <c r="BZ158" s="1">
        <v>2234435</v>
      </c>
      <c r="CA158" s="1">
        <v>650165</v>
      </c>
      <c r="CB158" s="1">
        <v>26658</v>
      </c>
      <c r="CC158" s="1">
        <v>29396</v>
      </c>
      <c r="CD158" s="1"/>
      <c r="CE158" s="1"/>
      <c r="CF158" s="1">
        <v>98363</v>
      </c>
      <c r="CG158" s="1">
        <v>60891</v>
      </c>
      <c r="CH158" s="1"/>
      <c r="CI158" s="1"/>
      <c r="CJ158" s="1">
        <v>1964950</v>
      </c>
      <c r="CK158" s="1">
        <v>841603</v>
      </c>
      <c r="CL158" s="1"/>
      <c r="CM158" s="1"/>
      <c r="CN158" s="1">
        <v>1963894</v>
      </c>
      <c r="CO158" s="1">
        <v>841541</v>
      </c>
      <c r="CP158" s="1">
        <v>62</v>
      </c>
      <c r="CQ158" s="1">
        <v>62</v>
      </c>
      <c r="CR158" s="1">
        <v>994</v>
      </c>
      <c r="CS158" s="1"/>
      <c r="CT158" s="1">
        <v>200000</v>
      </c>
      <c r="CU158" s="1">
        <v>101000</v>
      </c>
      <c r="CV158" s="1"/>
      <c r="CW158" s="1"/>
      <c r="CX158" s="2">
        <v>75846603</v>
      </c>
      <c r="CY158" s="1">
        <v>75895220</v>
      </c>
      <c r="CZ158" s="1">
        <v>88263443</v>
      </c>
      <c r="DA158" s="1">
        <v>89981862</v>
      </c>
      <c r="DB158" s="1">
        <v>20128068</v>
      </c>
      <c r="DC158" s="1">
        <v>20128068</v>
      </c>
      <c r="DD158" s="1"/>
      <c r="DE158" s="1"/>
      <c r="DF158" s="1">
        <v>7280404</v>
      </c>
      <c r="DG158" s="1">
        <v>7258248</v>
      </c>
      <c r="DH158" s="1"/>
      <c r="DI158" s="1"/>
      <c r="DJ158" s="1">
        <v>2689673</v>
      </c>
      <c r="DK158" s="1">
        <v>2960214</v>
      </c>
      <c r="DL158" s="24">
        <v>2129605</v>
      </c>
      <c r="DM158" s="24">
        <v>2139605</v>
      </c>
      <c r="DN158" s="1"/>
      <c r="DO158" s="1"/>
      <c r="DP158" s="2">
        <v>32227750</v>
      </c>
      <c r="DQ158" s="1">
        <v>32486135</v>
      </c>
      <c r="DR158" s="2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2">
        <v>56035693</v>
      </c>
      <c r="EQ158" s="1">
        <v>57495727</v>
      </c>
      <c r="ER158" s="1">
        <v>56035693</v>
      </c>
      <c r="ES158" s="1">
        <v>57495727</v>
      </c>
      <c r="ET158" s="1"/>
      <c r="EU158" s="1"/>
      <c r="EV158" s="1">
        <v>55170081</v>
      </c>
      <c r="EW158" s="1">
        <v>56703405</v>
      </c>
      <c r="EX158" s="1"/>
      <c r="EY158" s="1"/>
      <c r="EZ158" s="1">
        <v>1641</v>
      </c>
      <c r="FA158" s="1">
        <v>203899</v>
      </c>
      <c r="FB158" s="1"/>
      <c r="FC158" s="1"/>
      <c r="FD158" s="1"/>
      <c r="FE158" s="1"/>
      <c r="FF158" s="1"/>
      <c r="FG158" s="1"/>
      <c r="FH158" s="1"/>
      <c r="FI158" s="1"/>
      <c r="FJ158" s="1">
        <v>73137</v>
      </c>
      <c r="FK158" s="1">
        <v>141584</v>
      </c>
      <c r="FL158" s="1">
        <v>241374</v>
      </c>
      <c r="FM158" s="1">
        <v>89718</v>
      </c>
      <c r="FN158" s="1"/>
      <c r="FO158" s="1"/>
      <c r="FP158" s="1">
        <v>88530</v>
      </c>
      <c r="FQ158" s="1">
        <v>54327</v>
      </c>
      <c r="FR158" s="1">
        <v>372136</v>
      </c>
      <c r="FS158" s="1">
        <v>266048</v>
      </c>
      <c r="FT158" s="1"/>
      <c r="FU158" s="1"/>
      <c r="FV158" s="1"/>
      <c r="FW158" s="1"/>
      <c r="FX158" s="1"/>
      <c r="FY158" s="1"/>
      <c r="FZ158" s="1">
        <v>88794</v>
      </c>
      <c r="GA158" s="1">
        <v>36746</v>
      </c>
      <c r="GB158" s="1">
        <v>56035693</v>
      </c>
      <c r="GC158" s="1">
        <v>57495727</v>
      </c>
      <c r="GD158" s="1">
        <v>88263443</v>
      </c>
      <c r="GE158" s="1">
        <v>89981862</v>
      </c>
    </row>
    <row r="159" spans="1:188" x14ac:dyDescent="0.25">
      <c r="A159" s="1">
        <v>20006</v>
      </c>
      <c r="B159" s="1">
        <v>0</v>
      </c>
      <c r="C159" s="1">
        <v>200127136</v>
      </c>
      <c r="D159" s="1" t="s">
        <v>155</v>
      </c>
      <c r="E159" s="1">
        <v>30</v>
      </c>
      <c r="F159" s="1">
        <v>3</v>
      </c>
      <c r="G159" s="1">
        <v>0</v>
      </c>
      <c r="H159" s="1">
        <v>1</v>
      </c>
      <c r="I159" s="1">
        <v>2020</v>
      </c>
      <c r="J159" s="1">
        <v>4</v>
      </c>
      <c r="K159" s="1" t="s">
        <v>0</v>
      </c>
      <c r="L159" s="1">
        <v>1</v>
      </c>
      <c r="M159" s="1">
        <v>30</v>
      </c>
      <c r="N159" s="1">
        <v>0</v>
      </c>
      <c r="O159" s="1">
        <v>44251.629490740743</v>
      </c>
      <c r="P159" s="1">
        <v>40082826</v>
      </c>
      <c r="Q159" s="1">
        <v>43068700</v>
      </c>
      <c r="R159" s="1">
        <v>27934741</v>
      </c>
      <c r="S159" s="1">
        <v>31104872</v>
      </c>
      <c r="T159" s="1">
        <v>12148085</v>
      </c>
      <c r="U159" s="1">
        <v>11963828</v>
      </c>
      <c r="V159" s="1"/>
      <c r="W159" s="1"/>
      <c r="X159" s="1"/>
      <c r="Y159" s="1"/>
      <c r="Z159" s="1"/>
      <c r="AA159" s="1"/>
      <c r="AB159" s="1">
        <v>272519</v>
      </c>
      <c r="AC159" s="1">
        <v>248239</v>
      </c>
      <c r="AD159" s="1">
        <v>4204</v>
      </c>
      <c r="AE159" s="1">
        <v>4204</v>
      </c>
      <c r="AF159" s="1"/>
      <c r="AG159" s="1"/>
      <c r="AH159" s="1"/>
      <c r="AI159" s="1"/>
      <c r="AJ159" s="1">
        <v>268315</v>
      </c>
      <c r="AK159" s="1">
        <v>244035</v>
      </c>
      <c r="AL159" s="1"/>
      <c r="AM159" s="1"/>
      <c r="AN159" s="1"/>
      <c r="AO159" s="1"/>
      <c r="AP159" s="1">
        <v>14515</v>
      </c>
      <c r="AQ159" s="1">
        <v>204773</v>
      </c>
      <c r="AR159" s="1"/>
      <c r="AS159" s="1"/>
      <c r="AT159" s="1"/>
      <c r="AU159" s="1"/>
      <c r="AV159" s="2">
        <v>12435119</v>
      </c>
      <c r="AW159" s="1">
        <v>12416840</v>
      </c>
      <c r="AX159" s="1">
        <v>20126106</v>
      </c>
      <c r="AY159" s="1">
        <v>24531754</v>
      </c>
      <c r="AZ159" s="1">
        <v>5873845</v>
      </c>
      <c r="BA159" s="1">
        <v>6796536</v>
      </c>
      <c r="BB159" s="1">
        <v>971149</v>
      </c>
      <c r="BC159" s="1">
        <v>1746737</v>
      </c>
      <c r="BD159" s="1">
        <v>13280619</v>
      </c>
      <c r="BE159" s="1">
        <v>15988076</v>
      </c>
      <c r="BF159" s="1">
        <v>493</v>
      </c>
      <c r="BG159" s="1">
        <v>405</v>
      </c>
      <c r="BH159" s="1">
        <v>29411</v>
      </c>
      <c r="BI159" s="1">
        <v>47713</v>
      </c>
      <c r="BJ159" s="1">
        <v>30559798</v>
      </c>
      <c r="BK159" s="1">
        <v>30559798</v>
      </c>
      <c r="BL159" s="1">
        <v>25865846</v>
      </c>
      <c r="BM159" s="1">
        <v>18542389</v>
      </c>
      <c r="BN159" s="1"/>
      <c r="BO159" s="1"/>
      <c r="BP159" s="1">
        <v>1415317</v>
      </c>
      <c r="BQ159" s="1">
        <v>1149322</v>
      </c>
      <c r="BR159" s="1"/>
      <c r="BS159" s="1"/>
      <c r="BT159" s="1">
        <v>21234710</v>
      </c>
      <c r="BU159" s="1">
        <v>14690165</v>
      </c>
      <c r="BV159" s="1">
        <v>44569</v>
      </c>
      <c r="BW159" s="1">
        <v>11854</v>
      </c>
      <c r="BX159" s="1"/>
      <c r="BY159" s="1">
        <v>331592</v>
      </c>
      <c r="BZ159" s="1">
        <v>2868887</v>
      </c>
      <c r="CA159" s="1">
        <v>2234435</v>
      </c>
      <c r="CB159" s="1">
        <v>244048</v>
      </c>
      <c r="CC159" s="1">
        <v>26658</v>
      </c>
      <c r="CD159" s="1"/>
      <c r="CE159" s="1"/>
      <c r="CF159" s="1">
        <v>58315</v>
      </c>
      <c r="CG159" s="1">
        <v>98363</v>
      </c>
      <c r="CH159" s="1"/>
      <c r="CI159" s="1"/>
      <c r="CJ159" s="1">
        <v>28241</v>
      </c>
      <c r="CK159" s="1">
        <v>1964950</v>
      </c>
      <c r="CL159" s="1"/>
      <c r="CM159" s="1"/>
      <c r="CN159" s="1">
        <v>28241</v>
      </c>
      <c r="CO159" s="1">
        <v>1963894</v>
      </c>
      <c r="CP159" s="1"/>
      <c r="CQ159" s="1">
        <v>62</v>
      </c>
      <c r="CR159" s="1"/>
      <c r="CS159" s="1">
        <v>994</v>
      </c>
      <c r="CT159" s="1"/>
      <c r="CU159" s="1">
        <v>200000</v>
      </c>
      <c r="CV159" s="1"/>
      <c r="CW159" s="1"/>
      <c r="CX159" s="2">
        <v>76609402</v>
      </c>
      <c r="CY159" s="1">
        <v>75846604</v>
      </c>
      <c r="CZ159" s="1">
        <v>89044521</v>
      </c>
      <c r="DA159" s="1">
        <v>88263444</v>
      </c>
      <c r="DB159" s="1">
        <v>20128068</v>
      </c>
      <c r="DC159" s="1">
        <v>20128068</v>
      </c>
      <c r="DD159" s="1"/>
      <c r="DE159" s="1"/>
      <c r="DF159" s="1">
        <v>6440741</v>
      </c>
      <c r="DG159" s="1">
        <v>7280404</v>
      </c>
      <c r="DH159" s="1"/>
      <c r="DI159" s="1"/>
      <c r="DJ159" s="1">
        <v>2399436</v>
      </c>
      <c r="DK159" s="1">
        <v>2689673</v>
      </c>
      <c r="DL159" s="24">
        <v>2129605</v>
      </c>
      <c r="DM159" s="24">
        <v>2129605</v>
      </c>
      <c r="DN159" s="1"/>
      <c r="DO159" s="1"/>
      <c r="DP159" s="2">
        <v>31097850</v>
      </c>
      <c r="DQ159" s="1">
        <v>32227750</v>
      </c>
      <c r="DR159" s="2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2">
        <v>57946671</v>
      </c>
      <c r="EQ159" s="1">
        <v>56035694</v>
      </c>
      <c r="ER159" s="1">
        <v>57946671</v>
      </c>
      <c r="ES159" s="1">
        <v>56035694</v>
      </c>
      <c r="ET159" s="1"/>
      <c r="EU159" s="1"/>
      <c r="EV159" s="1">
        <v>57062492</v>
      </c>
      <c r="EW159" s="1">
        <v>55170081</v>
      </c>
      <c r="EX159" s="1"/>
      <c r="EY159" s="1"/>
      <c r="EZ159" s="1">
        <v>387140</v>
      </c>
      <c r="FA159" s="1">
        <v>1641</v>
      </c>
      <c r="FB159" s="1"/>
      <c r="FC159" s="1"/>
      <c r="FD159" s="1"/>
      <c r="FE159" s="1"/>
      <c r="FF159" s="1"/>
      <c r="FG159" s="1"/>
      <c r="FH159" s="1"/>
      <c r="FI159" s="1"/>
      <c r="FJ159" s="1"/>
      <c r="FK159" s="1">
        <v>73138</v>
      </c>
      <c r="FL159" s="1"/>
      <c r="FM159" s="1"/>
      <c r="FN159" s="1">
        <v>8742</v>
      </c>
      <c r="FO159" s="1">
        <v>241373</v>
      </c>
      <c r="FP159" s="1">
        <v>261084</v>
      </c>
      <c r="FQ159" s="1">
        <v>88530</v>
      </c>
      <c r="FR159" s="1">
        <v>209668</v>
      </c>
      <c r="FS159" s="1">
        <v>372136</v>
      </c>
      <c r="FT159" s="1"/>
      <c r="FU159" s="1"/>
      <c r="FV159" s="1"/>
      <c r="FW159" s="1"/>
      <c r="FX159" s="1"/>
      <c r="FY159" s="1"/>
      <c r="FZ159" s="1">
        <v>17545</v>
      </c>
      <c r="GA159" s="1">
        <v>88795</v>
      </c>
      <c r="GB159" s="1">
        <v>57946671</v>
      </c>
      <c r="GC159" s="1">
        <v>56035694</v>
      </c>
      <c r="GD159" s="1">
        <v>89044521</v>
      </c>
      <c r="GE159" s="1">
        <v>88263444</v>
      </c>
    </row>
    <row r="160" spans="1:188" x14ac:dyDescent="0.25">
      <c r="A160" s="1">
        <v>20006</v>
      </c>
      <c r="B160" s="1">
        <v>0</v>
      </c>
      <c r="C160" s="1">
        <v>200127136</v>
      </c>
      <c r="D160" s="1" t="s">
        <v>155</v>
      </c>
      <c r="E160" s="1">
        <v>30</v>
      </c>
      <c r="F160" s="1">
        <v>3</v>
      </c>
      <c r="G160" s="1">
        <v>0</v>
      </c>
      <c r="H160" s="1">
        <v>1</v>
      </c>
      <c r="I160" s="1">
        <v>2019</v>
      </c>
      <c r="J160" s="1">
        <v>4</v>
      </c>
      <c r="K160" s="1" t="s">
        <v>0</v>
      </c>
      <c r="L160" s="1">
        <v>1</v>
      </c>
      <c r="M160" s="1">
        <v>30</v>
      </c>
      <c r="N160" s="1">
        <v>0</v>
      </c>
      <c r="O160" s="1">
        <v>43874.695717592593</v>
      </c>
      <c r="P160" s="1">
        <v>39406590</v>
      </c>
      <c r="Q160" s="1">
        <v>40082826</v>
      </c>
      <c r="R160" s="1">
        <v>26680806</v>
      </c>
      <c r="S160" s="1">
        <v>27934741</v>
      </c>
      <c r="T160" s="1">
        <v>12725784</v>
      </c>
      <c r="U160" s="1">
        <v>12148085</v>
      </c>
      <c r="V160" s="1"/>
      <c r="W160" s="1"/>
      <c r="X160" s="1"/>
      <c r="Y160" s="1"/>
      <c r="Z160" s="1"/>
      <c r="AA160" s="1"/>
      <c r="AB160" s="1">
        <v>302519</v>
      </c>
      <c r="AC160" s="1">
        <v>272519</v>
      </c>
      <c r="AD160" s="1">
        <v>4204</v>
      </c>
      <c r="AE160" s="1">
        <v>4204</v>
      </c>
      <c r="AF160" s="1">
        <v>30000</v>
      </c>
      <c r="AG160" s="1"/>
      <c r="AH160" s="1"/>
      <c r="AI160" s="1"/>
      <c r="AJ160" s="1">
        <v>268315</v>
      </c>
      <c r="AK160" s="1">
        <v>268315</v>
      </c>
      <c r="AL160" s="1"/>
      <c r="AM160" s="1"/>
      <c r="AN160" s="1"/>
      <c r="AO160" s="1"/>
      <c r="AP160" s="1">
        <v>14515</v>
      </c>
      <c r="AQ160" s="1">
        <v>14515</v>
      </c>
      <c r="AR160" s="1"/>
      <c r="AS160" s="1"/>
      <c r="AT160" s="1"/>
      <c r="AU160" s="1"/>
      <c r="AV160" s="2">
        <v>13042818</v>
      </c>
      <c r="AW160" s="1">
        <v>12435119</v>
      </c>
      <c r="AX160" s="1">
        <v>19729027</v>
      </c>
      <c r="AY160" s="1">
        <v>20126106</v>
      </c>
      <c r="AZ160" s="1">
        <v>7278810</v>
      </c>
      <c r="BA160" s="1">
        <v>5873845</v>
      </c>
      <c r="BB160" s="1">
        <v>1536476</v>
      </c>
      <c r="BC160" s="1">
        <v>971149</v>
      </c>
      <c r="BD160" s="1">
        <v>10912956</v>
      </c>
      <c r="BE160" s="1">
        <v>13280619</v>
      </c>
      <c r="BF160" s="1">
        <v>785</v>
      </c>
      <c r="BG160" s="1">
        <v>493</v>
      </c>
      <c r="BH160" s="1">
        <v>23555</v>
      </c>
      <c r="BI160" s="1">
        <v>29411</v>
      </c>
      <c r="BJ160" s="1">
        <v>30559798</v>
      </c>
      <c r="BK160" s="1">
        <v>30559798</v>
      </c>
      <c r="BL160" s="1">
        <v>31899855</v>
      </c>
      <c r="BM160" s="1">
        <v>25865846</v>
      </c>
      <c r="BN160" s="1"/>
      <c r="BO160" s="1"/>
      <c r="BP160" s="1">
        <v>1577324</v>
      </c>
      <c r="BQ160" s="1">
        <v>1415317</v>
      </c>
      <c r="BR160" s="1"/>
      <c r="BS160" s="1"/>
      <c r="BT160" s="1">
        <v>24805392</v>
      </c>
      <c r="BU160" s="1">
        <v>21234710</v>
      </c>
      <c r="BV160" s="1">
        <v>9358</v>
      </c>
      <c r="BW160" s="1">
        <v>44569</v>
      </c>
      <c r="BX160" s="1">
        <v>3617238</v>
      </c>
      <c r="BY160" s="1"/>
      <c r="BZ160" s="1">
        <v>1495019</v>
      </c>
      <c r="CA160" s="1">
        <v>2868887</v>
      </c>
      <c r="CB160" s="1">
        <v>21309</v>
      </c>
      <c r="CC160" s="1">
        <v>244048</v>
      </c>
      <c r="CD160" s="1"/>
      <c r="CE160" s="1"/>
      <c r="CF160" s="1">
        <v>374215</v>
      </c>
      <c r="CG160" s="1">
        <v>58315</v>
      </c>
      <c r="CH160" s="1"/>
      <c r="CI160" s="1"/>
      <c r="CJ160" s="1">
        <v>642226</v>
      </c>
      <c r="CK160" s="1">
        <v>28241</v>
      </c>
      <c r="CL160" s="1"/>
      <c r="CM160" s="1"/>
      <c r="CN160" s="1">
        <v>1676</v>
      </c>
      <c r="CO160" s="1">
        <v>28241</v>
      </c>
      <c r="CP160" s="1">
        <v>628043</v>
      </c>
      <c r="CQ160" s="1"/>
      <c r="CR160" s="1">
        <v>12507</v>
      </c>
      <c r="CS160" s="1"/>
      <c r="CT160" s="1"/>
      <c r="CU160" s="1"/>
      <c r="CV160" s="1"/>
      <c r="CW160" s="1"/>
      <c r="CX160" s="2">
        <v>82854461</v>
      </c>
      <c r="CY160" s="1">
        <v>76609402</v>
      </c>
      <c r="CZ160" s="1">
        <v>95897279</v>
      </c>
      <c r="DA160" s="1">
        <v>89044521</v>
      </c>
      <c r="DB160" s="1">
        <v>20128068</v>
      </c>
      <c r="DC160" s="1">
        <v>20128068</v>
      </c>
      <c r="DD160" s="1"/>
      <c r="DE160" s="1"/>
      <c r="DF160" s="1">
        <v>6124198</v>
      </c>
      <c r="DG160" s="1">
        <v>6440741</v>
      </c>
      <c r="DH160" s="1"/>
      <c r="DI160" s="1"/>
      <c r="DJ160" s="1">
        <v>15389512</v>
      </c>
      <c r="DK160" s="1">
        <v>2399436</v>
      </c>
      <c r="DL160" s="24">
        <v>2042501</v>
      </c>
      <c r="DM160" s="24">
        <v>2129605</v>
      </c>
      <c r="DN160" s="1"/>
      <c r="DO160" s="1"/>
      <c r="DP160" s="2">
        <v>43684279</v>
      </c>
      <c r="DQ160" s="1">
        <v>31097850</v>
      </c>
      <c r="DR160" s="2">
        <v>14207</v>
      </c>
      <c r="DS160" s="1"/>
      <c r="DT160" s="1">
        <v>14207</v>
      </c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>
        <v>14207</v>
      </c>
      <c r="EO160" s="1"/>
      <c r="EP160" s="2">
        <v>52198793</v>
      </c>
      <c r="EQ160" s="1">
        <v>57946671</v>
      </c>
      <c r="ER160" s="1">
        <v>52198793</v>
      </c>
      <c r="ES160" s="1">
        <v>57946671</v>
      </c>
      <c r="ET160" s="1"/>
      <c r="EU160" s="1"/>
      <c r="EV160" s="1">
        <v>50382264</v>
      </c>
      <c r="EW160" s="1">
        <v>57062492</v>
      </c>
      <c r="EX160" s="1"/>
      <c r="EY160" s="1"/>
      <c r="EZ160" s="1">
        <v>651181</v>
      </c>
      <c r="FA160" s="1">
        <v>387140</v>
      </c>
      <c r="FB160" s="1"/>
      <c r="FC160" s="1"/>
      <c r="FD160" s="1"/>
      <c r="FE160" s="1"/>
      <c r="FF160" s="1"/>
      <c r="FG160" s="1"/>
      <c r="FH160" s="1"/>
      <c r="FI160" s="1"/>
      <c r="FJ160" s="1">
        <v>216703</v>
      </c>
      <c r="FK160" s="1"/>
      <c r="FL160" s="1"/>
      <c r="FM160" s="1"/>
      <c r="FN160" s="1">
        <v>431626</v>
      </c>
      <c r="FO160" s="1">
        <v>8742</v>
      </c>
      <c r="FP160" s="1">
        <v>119915</v>
      </c>
      <c r="FQ160" s="1">
        <v>261084</v>
      </c>
      <c r="FR160" s="1">
        <v>224407</v>
      </c>
      <c r="FS160" s="1">
        <v>209668</v>
      </c>
      <c r="FT160" s="1"/>
      <c r="FU160" s="1"/>
      <c r="FV160" s="1"/>
      <c r="FW160" s="1"/>
      <c r="FX160" s="1"/>
      <c r="FY160" s="1"/>
      <c r="FZ160" s="1">
        <v>172697</v>
      </c>
      <c r="GA160" s="1">
        <v>17545</v>
      </c>
      <c r="GB160" s="1">
        <v>52213000</v>
      </c>
      <c r="GC160" s="1">
        <v>57946671</v>
      </c>
      <c r="GD160" s="1">
        <v>95897279</v>
      </c>
      <c r="GE160" s="1">
        <v>89044521</v>
      </c>
    </row>
    <row r="161" spans="1:187" x14ac:dyDescent="0.25">
      <c r="A161" s="1">
        <v>20006</v>
      </c>
      <c r="B161" s="1">
        <v>0</v>
      </c>
      <c r="C161" s="3">
        <v>200127136</v>
      </c>
      <c r="D161" s="3" t="s">
        <v>155</v>
      </c>
      <c r="E161" s="4">
        <v>30</v>
      </c>
      <c r="F161" s="4">
        <v>3</v>
      </c>
      <c r="G161" s="4">
        <v>0</v>
      </c>
      <c r="H161" s="4">
        <v>1</v>
      </c>
      <c r="I161" s="1">
        <v>2018</v>
      </c>
      <c r="J161" s="1">
        <v>4</v>
      </c>
      <c r="K161" s="3" t="s">
        <v>0</v>
      </c>
      <c r="L161" s="1">
        <v>1</v>
      </c>
      <c r="M161" s="1">
        <v>30</v>
      </c>
      <c r="N161" s="5">
        <v>0</v>
      </c>
      <c r="O161" s="6">
        <v>43511.705416666664</v>
      </c>
      <c r="P161" s="1">
        <v>36708254</v>
      </c>
      <c r="Q161" s="1">
        <v>37608363</v>
      </c>
      <c r="R161" s="1">
        <v>21073587</v>
      </c>
      <c r="S161" s="1">
        <v>25470193</v>
      </c>
      <c r="T161" s="1">
        <v>15634667</v>
      </c>
      <c r="U161" s="1">
        <v>12138170</v>
      </c>
      <c r="V161" s="1"/>
      <c r="W161" s="1"/>
      <c r="X161" s="1"/>
      <c r="Y161" s="1"/>
      <c r="Z161" s="1">
        <v>0</v>
      </c>
      <c r="AA161" s="1"/>
      <c r="AB161" s="1">
        <v>302519</v>
      </c>
      <c r="AC161" s="1">
        <v>302519</v>
      </c>
      <c r="AD161" s="1">
        <v>4204</v>
      </c>
      <c r="AE161" s="1">
        <v>4204</v>
      </c>
      <c r="AF161" s="1">
        <v>30000</v>
      </c>
      <c r="AG161" s="1">
        <v>30000</v>
      </c>
      <c r="AH161" s="1"/>
      <c r="AI161" s="1"/>
      <c r="AJ161" s="1">
        <v>268315</v>
      </c>
      <c r="AK161" s="1">
        <v>268315</v>
      </c>
      <c r="AL161" s="1"/>
      <c r="AM161" s="1"/>
      <c r="AN161" s="1"/>
      <c r="AO161" s="1"/>
      <c r="AP161" s="1"/>
      <c r="AQ161" s="1">
        <v>14500</v>
      </c>
      <c r="AR161" s="1"/>
      <c r="AS161" s="1"/>
      <c r="AT161" s="1"/>
      <c r="AU161" s="1"/>
      <c r="AV161" s="2">
        <v>15937186</v>
      </c>
      <c r="AW161" s="1">
        <v>12455189</v>
      </c>
      <c r="AX161" s="1">
        <v>12410433</v>
      </c>
      <c r="AY161" s="1">
        <v>19729027</v>
      </c>
      <c r="AZ161" s="1">
        <v>6096785</v>
      </c>
      <c r="BA161" s="1">
        <v>7278810</v>
      </c>
      <c r="BB161" s="1">
        <v>1468773</v>
      </c>
      <c r="BC161" s="1">
        <v>1536476</v>
      </c>
      <c r="BD161" s="1">
        <v>4844083</v>
      </c>
      <c r="BE161" s="1">
        <v>10912956</v>
      </c>
      <c r="BF161" s="1">
        <v>792</v>
      </c>
      <c r="BG161" s="1">
        <v>785</v>
      </c>
      <c r="BH161" s="1">
        <v>35309</v>
      </c>
      <c r="BI161" s="1">
        <v>16519</v>
      </c>
      <c r="BJ161" s="1">
        <v>29245077</v>
      </c>
      <c r="BK161" s="1">
        <v>30559798</v>
      </c>
      <c r="BL161" s="1">
        <v>38952952</v>
      </c>
      <c r="BM161" s="1">
        <v>31906891</v>
      </c>
      <c r="BN161" s="1"/>
      <c r="BO161" s="1"/>
      <c r="BP161" s="1">
        <v>909965</v>
      </c>
      <c r="BQ161" s="1">
        <v>1577324</v>
      </c>
      <c r="BR161" s="1"/>
      <c r="BS161" s="1"/>
      <c r="BT161" s="1">
        <v>36843701</v>
      </c>
      <c r="BU161" s="1">
        <v>24812428</v>
      </c>
      <c r="BV161" s="1">
        <v>110</v>
      </c>
      <c r="BW161" s="1">
        <v>9358</v>
      </c>
      <c r="BX161" s="1">
        <v>761422</v>
      </c>
      <c r="BY161" s="1">
        <v>3617238</v>
      </c>
      <c r="BZ161" s="1">
        <v>6073</v>
      </c>
      <c r="CA161" s="1">
        <v>1495019</v>
      </c>
      <c r="CB161" s="1">
        <v>2361</v>
      </c>
      <c r="CC161" s="1">
        <v>21309</v>
      </c>
      <c r="CD161" s="1"/>
      <c r="CE161" s="1"/>
      <c r="CF161" s="1">
        <v>429320</v>
      </c>
      <c r="CG161" s="1">
        <v>374215</v>
      </c>
      <c r="CH161" s="1"/>
      <c r="CI161" s="1"/>
      <c r="CJ161" s="1">
        <v>291780</v>
      </c>
      <c r="CK161" s="1">
        <v>642226</v>
      </c>
      <c r="CL161" s="1"/>
      <c r="CM161" s="1"/>
      <c r="CN161" s="1">
        <v>11699</v>
      </c>
      <c r="CO161" s="1">
        <v>1676</v>
      </c>
      <c r="CP161" s="1">
        <v>279080</v>
      </c>
      <c r="CQ161" s="1">
        <v>628043</v>
      </c>
      <c r="CR161" s="1">
        <v>1001</v>
      </c>
      <c r="CS161" s="1">
        <v>12507</v>
      </c>
      <c r="CT161" s="1">
        <v>4049652</v>
      </c>
      <c r="CU161" s="1">
        <v>0</v>
      </c>
      <c r="CV161" s="1"/>
      <c r="CW161" s="1"/>
      <c r="CX161" s="2">
        <v>84985203</v>
      </c>
      <c r="CY161" s="1">
        <v>82854461</v>
      </c>
      <c r="CZ161" s="1">
        <v>100922389</v>
      </c>
      <c r="DA161" s="1">
        <v>95309650</v>
      </c>
      <c r="DB161" s="1">
        <v>1677339</v>
      </c>
      <c r="DC161" s="1">
        <v>20128068</v>
      </c>
      <c r="DD161" s="1">
        <v>0</v>
      </c>
      <c r="DE161" s="1"/>
      <c r="DF161" s="1">
        <v>5594131</v>
      </c>
      <c r="DG161" s="1">
        <v>5536569</v>
      </c>
      <c r="DH161" s="1"/>
      <c r="DI161" s="1"/>
      <c r="DJ161" s="1">
        <v>33117121</v>
      </c>
      <c r="DK161" s="1">
        <v>15389512</v>
      </c>
      <c r="DL161" s="24">
        <v>5366148</v>
      </c>
      <c r="DM161" s="24">
        <v>2042501</v>
      </c>
      <c r="DN161" s="1"/>
      <c r="DO161" s="1"/>
      <c r="DP161" s="2">
        <v>45754739</v>
      </c>
      <c r="DQ161" s="1">
        <v>43096650</v>
      </c>
      <c r="DR161" s="2">
        <v>185829</v>
      </c>
      <c r="DS161" s="1">
        <v>14207</v>
      </c>
      <c r="DT161" s="1">
        <v>184835</v>
      </c>
      <c r="DU161" s="1">
        <v>14207</v>
      </c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>
        <v>994</v>
      </c>
      <c r="EK161" s="1"/>
      <c r="EL161" s="1"/>
      <c r="EM161" s="1"/>
      <c r="EN161" s="1">
        <v>184835</v>
      </c>
      <c r="EO161" s="1">
        <v>14207</v>
      </c>
      <c r="EP161" s="2">
        <v>54981821</v>
      </c>
      <c r="EQ161" s="1">
        <v>52198793</v>
      </c>
      <c r="ER161" s="1">
        <v>54872417</v>
      </c>
      <c r="ES161" s="1">
        <v>52198793</v>
      </c>
      <c r="ET161" s="1"/>
      <c r="EU161" s="1"/>
      <c r="EV161" s="1">
        <v>49482350</v>
      </c>
      <c r="EW161" s="1">
        <v>50382264</v>
      </c>
      <c r="EX161" s="1"/>
      <c r="EY161" s="1"/>
      <c r="EZ161" s="1">
        <v>471045</v>
      </c>
      <c r="FA161" s="1">
        <v>651181</v>
      </c>
      <c r="FB161" s="1"/>
      <c r="FC161" s="1"/>
      <c r="FD161" s="1"/>
      <c r="FE161" s="1"/>
      <c r="FF161" s="1"/>
      <c r="FG161" s="1"/>
      <c r="FH161" s="1"/>
      <c r="FI161" s="1"/>
      <c r="FJ161" s="1">
        <v>2471456</v>
      </c>
      <c r="FK161" s="1">
        <v>216703</v>
      </c>
      <c r="FL161" s="1"/>
      <c r="FM161" s="1"/>
      <c r="FN161" s="1">
        <v>1618211</v>
      </c>
      <c r="FO161" s="1">
        <v>431626</v>
      </c>
      <c r="FP161" s="1">
        <v>374983</v>
      </c>
      <c r="FQ161" s="1">
        <v>119915</v>
      </c>
      <c r="FR161" s="1">
        <v>384292</v>
      </c>
      <c r="FS161" s="1">
        <v>224407</v>
      </c>
      <c r="FT161" s="1">
        <v>1444</v>
      </c>
      <c r="FU161" s="1"/>
      <c r="FV161" s="1">
        <v>107960</v>
      </c>
      <c r="FW161" s="1"/>
      <c r="FX161" s="1"/>
      <c r="FY161" s="1"/>
      <c r="FZ161" s="1">
        <v>70080</v>
      </c>
      <c r="GA161" s="1">
        <v>172697</v>
      </c>
      <c r="GB161" s="1">
        <v>55167650</v>
      </c>
      <c r="GC161" s="1">
        <v>52213000</v>
      </c>
      <c r="GD161" s="1">
        <v>100922389</v>
      </c>
      <c r="GE161" s="1">
        <v>95309650</v>
      </c>
    </row>
    <row r="162" spans="1:187" s="3" customFormat="1" ht="12" x14ac:dyDescent="0.2">
      <c r="A162" s="1">
        <v>20006</v>
      </c>
      <c r="B162" s="1">
        <v>0</v>
      </c>
      <c r="C162" s="1">
        <v>201157842</v>
      </c>
      <c r="D162" s="1" t="s">
        <v>164</v>
      </c>
      <c r="E162" s="1">
        <v>33</v>
      </c>
      <c r="F162" s="1">
        <v>8</v>
      </c>
      <c r="G162" s="1">
        <v>0</v>
      </c>
      <c r="H162" s="1">
        <v>1</v>
      </c>
      <c r="I162" s="1">
        <v>2021</v>
      </c>
      <c r="J162" s="1">
        <v>4</v>
      </c>
      <c r="K162" s="1" t="s">
        <v>0</v>
      </c>
      <c r="L162" s="1">
        <v>2</v>
      </c>
      <c r="M162" s="1">
        <v>30</v>
      </c>
      <c r="N162" s="1">
        <v>0</v>
      </c>
      <c r="O162" s="1">
        <v>44625.591458333336</v>
      </c>
      <c r="P162" s="1">
        <v>21385275</v>
      </c>
      <c r="Q162" s="1">
        <v>20966444</v>
      </c>
      <c r="R162" s="1">
        <v>7322457</v>
      </c>
      <c r="S162" s="1">
        <v>9069053</v>
      </c>
      <c r="T162" s="1">
        <v>14062818</v>
      </c>
      <c r="U162" s="1">
        <v>11897391</v>
      </c>
      <c r="V162" s="1"/>
      <c r="W162" s="1"/>
      <c r="X162" s="1"/>
      <c r="Y162" s="1"/>
      <c r="Z162" s="1"/>
      <c r="AA162" s="1"/>
      <c r="AB162" s="1">
        <v>1869055</v>
      </c>
      <c r="AC162" s="1">
        <v>1869055</v>
      </c>
      <c r="AD162" s="1">
        <v>173470</v>
      </c>
      <c r="AE162" s="1">
        <v>173470</v>
      </c>
      <c r="AF162" s="1"/>
      <c r="AG162" s="1"/>
      <c r="AH162" s="1"/>
      <c r="AI162" s="1"/>
      <c r="AJ162" s="1"/>
      <c r="AK162" s="1"/>
      <c r="AL162" s="1">
        <v>1695585</v>
      </c>
      <c r="AM162" s="1">
        <v>1695585</v>
      </c>
      <c r="AN162" s="1"/>
      <c r="AO162" s="1"/>
      <c r="AP162" s="1"/>
      <c r="AQ162" s="1"/>
      <c r="AR162" s="1"/>
      <c r="AS162" s="1"/>
      <c r="AT162" s="1"/>
      <c r="AU162" s="1"/>
      <c r="AV162" s="2">
        <v>15931873</v>
      </c>
      <c r="AW162" s="1">
        <v>13766446</v>
      </c>
      <c r="AX162" s="1">
        <v>21408386</v>
      </c>
      <c r="AY162" s="1">
        <v>21343663</v>
      </c>
      <c r="AZ162" s="1">
        <v>19107058</v>
      </c>
      <c r="BA162" s="1">
        <v>19384313</v>
      </c>
      <c r="BB162" s="1"/>
      <c r="BC162" s="1"/>
      <c r="BD162" s="1">
        <v>2297899</v>
      </c>
      <c r="BE162" s="1">
        <v>1955921</v>
      </c>
      <c r="BF162" s="1">
        <v>3429</v>
      </c>
      <c r="BG162" s="1">
        <v>3429</v>
      </c>
      <c r="BH162" s="1">
        <v>115128</v>
      </c>
      <c r="BI162" s="1"/>
      <c r="BJ162" s="1"/>
      <c r="BK162" s="1"/>
      <c r="BL162" s="1">
        <v>5730306</v>
      </c>
      <c r="BM162" s="1">
        <v>1813569</v>
      </c>
      <c r="BN162" s="1"/>
      <c r="BO162" s="1"/>
      <c r="BP162" s="1"/>
      <c r="BQ162" s="1">
        <v>16406</v>
      </c>
      <c r="BR162" s="1"/>
      <c r="BS162" s="1"/>
      <c r="BT162" s="1"/>
      <c r="BU162" s="1"/>
      <c r="BV162" s="1">
        <v>448</v>
      </c>
      <c r="BW162" s="1"/>
      <c r="BX162" s="1">
        <v>3924212</v>
      </c>
      <c r="BY162" s="1">
        <v>1274018</v>
      </c>
      <c r="BZ162" s="1">
        <v>1802205</v>
      </c>
      <c r="CA162" s="1">
        <v>523145</v>
      </c>
      <c r="CB162" s="1">
        <v>3441</v>
      </c>
      <c r="CC162" s="1">
        <v>0</v>
      </c>
      <c r="CD162" s="1"/>
      <c r="CE162" s="1"/>
      <c r="CF162" s="1"/>
      <c r="CG162" s="1"/>
      <c r="CH162" s="1"/>
      <c r="CI162" s="1"/>
      <c r="CJ162" s="1">
        <v>272423</v>
      </c>
      <c r="CK162" s="1">
        <v>429933</v>
      </c>
      <c r="CL162" s="1"/>
      <c r="CM162" s="1"/>
      <c r="CN162" s="1">
        <v>235487</v>
      </c>
      <c r="CO162" s="1">
        <v>426069</v>
      </c>
      <c r="CP162" s="1"/>
      <c r="CQ162" s="1"/>
      <c r="CR162" s="1">
        <v>36936</v>
      </c>
      <c r="CS162" s="1">
        <v>3864</v>
      </c>
      <c r="CT162" s="1"/>
      <c r="CU162" s="1"/>
      <c r="CV162" s="1"/>
      <c r="CW162" s="1"/>
      <c r="CX162" s="2">
        <v>27526243</v>
      </c>
      <c r="CY162" s="1">
        <v>23587165</v>
      </c>
      <c r="CZ162" s="1">
        <v>43458116</v>
      </c>
      <c r="DA162" s="1">
        <v>37353611</v>
      </c>
      <c r="DB162" s="1">
        <v>968955</v>
      </c>
      <c r="DC162" s="1">
        <v>968955</v>
      </c>
      <c r="DD162" s="1">
        <v>63751</v>
      </c>
      <c r="DE162" s="1">
        <v>63751</v>
      </c>
      <c r="DF162" s="1">
        <v>5182147</v>
      </c>
      <c r="DG162" s="1">
        <v>5233741</v>
      </c>
      <c r="DH162" s="1"/>
      <c r="DI162" s="1"/>
      <c r="DJ162" s="1">
        <v>2692736</v>
      </c>
      <c r="DK162" s="1">
        <v>2116799</v>
      </c>
      <c r="DL162" s="24"/>
      <c r="DM162" s="24"/>
      <c r="DN162" s="1"/>
      <c r="DO162" s="1"/>
      <c r="DP162" s="2">
        <v>8907589</v>
      </c>
      <c r="DQ162" s="1">
        <v>8383246</v>
      </c>
      <c r="DR162" s="2">
        <v>11429958</v>
      </c>
      <c r="DS162" s="1">
        <v>7163909</v>
      </c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>
        <v>11429958</v>
      </c>
      <c r="EK162" s="1">
        <v>7163909</v>
      </c>
      <c r="EL162" s="1"/>
      <c r="EM162" s="1"/>
      <c r="EN162" s="1"/>
      <c r="EO162" s="1"/>
      <c r="EP162" s="2">
        <v>23120569</v>
      </c>
      <c r="EQ162" s="1">
        <v>21806456</v>
      </c>
      <c r="ER162" s="1">
        <v>6095060</v>
      </c>
      <c r="ES162" s="1">
        <v>916242</v>
      </c>
      <c r="ET162" s="1"/>
      <c r="EU162" s="1"/>
      <c r="EV162" s="1">
        <v>281675</v>
      </c>
      <c r="EW162" s="1">
        <v>218119</v>
      </c>
      <c r="EX162" s="1"/>
      <c r="EY162" s="1"/>
      <c r="EZ162" s="1">
        <v>5354253</v>
      </c>
      <c r="FA162" s="1">
        <v>490030</v>
      </c>
      <c r="FB162" s="1"/>
      <c r="FC162" s="1"/>
      <c r="FD162" s="1"/>
      <c r="FE162" s="1"/>
      <c r="FF162" s="1"/>
      <c r="FG162" s="1"/>
      <c r="FH162" s="1"/>
      <c r="FI162" s="1"/>
      <c r="FJ162" s="1">
        <v>11123</v>
      </c>
      <c r="FK162" s="1"/>
      <c r="FL162" s="1"/>
      <c r="FM162" s="1"/>
      <c r="FN162" s="1">
        <v>55329</v>
      </c>
      <c r="FO162" s="1"/>
      <c r="FP162" s="1">
        <v>392680</v>
      </c>
      <c r="FQ162" s="1">
        <v>208093</v>
      </c>
      <c r="FR162" s="1"/>
      <c r="FS162" s="1"/>
      <c r="FT162" s="1">
        <v>1</v>
      </c>
      <c r="FU162" s="1">
        <v>350000</v>
      </c>
      <c r="FV162" s="1">
        <v>17025508</v>
      </c>
      <c r="FW162" s="1">
        <v>20540214</v>
      </c>
      <c r="FX162" s="1"/>
      <c r="FY162" s="1"/>
      <c r="FZ162" s="1"/>
      <c r="GA162" s="1"/>
      <c r="GB162" s="1">
        <v>34550527</v>
      </c>
      <c r="GC162" s="1">
        <v>28970365</v>
      </c>
      <c r="GD162" s="1">
        <v>43458116</v>
      </c>
      <c r="GE162" s="1">
        <v>37353611</v>
      </c>
    </row>
    <row r="163" spans="1:187" s="3" customFormat="1" ht="12" x14ac:dyDescent="0.2">
      <c r="A163" s="1">
        <v>20006</v>
      </c>
      <c r="B163" s="1">
        <v>0</v>
      </c>
      <c r="C163" s="1">
        <v>201157842</v>
      </c>
      <c r="D163" s="1" t="s">
        <v>164</v>
      </c>
      <c r="E163" s="1">
        <v>33</v>
      </c>
      <c r="F163" s="1">
        <v>8</v>
      </c>
      <c r="G163" s="1">
        <v>0</v>
      </c>
      <c r="H163" s="1">
        <v>1</v>
      </c>
      <c r="I163" s="1">
        <v>2020</v>
      </c>
      <c r="J163" s="1">
        <v>4</v>
      </c>
      <c r="K163" s="1" t="s">
        <v>0</v>
      </c>
      <c r="L163" s="1">
        <v>1</v>
      </c>
      <c r="M163" s="1">
        <v>30</v>
      </c>
      <c r="N163" s="1">
        <v>0</v>
      </c>
      <c r="O163" s="1">
        <v>44237.61923611111</v>
      </c>
      <c r="P163" s="1">
        <v>18046723</v>
      </c>
      <c r="Q163" s="1">
        <v>21385275</v>
      </c>
      <c r="R163" s="1">
        <v>4649814</v>
      </c>
      <c r="S163" s="1">
        <v>7322457</v>
      </c>
      <c r="T163" s="1">
        <v>13396909</v>
      </c>
      <c r="U163" s="1">
        <v>14062818</v>
      </c>
      <c r="V163" s="1"/>
      <c r="W163" s="1"/>
      <c r="X163" s="1"/>
      <c r="Y163" s="1"/>
      <c r="Z163" s="1"/>
      <c r="AA163" s="1"/>
      <c r="AB163" s="1">
        <v>1863750</v>
      </c>
      <c r="AC163" s="1">
        <v>1869055</v>
      </c>
      <c r="AD163" s="1">
        <v>173470</v>
      </c>
      <c r="AE163" s="1">
        <v>173470</v>
      </c>
      <c r="AF163" s="1"/>
      <c r="AG163" s="1"/>
      <c r="AH163" s="1"/>
      <c r="AI163" s="1"/>
      <c r="AJ163" s="1"/>
      <c r="AK163" s="1"/>
      <c r="AL163" s="1">
        <v>1690280</v>
      </c>
      <c r="AM163" s="1">
        <v>1695585</v>
      </c>
      <c r="AN163" s="1"/>
      <c r="AO163" s="1"/>
      <c r="AP163" s="1"/>
      <c r="AQ163" s="1"/>
      <c r="AR163" s="1"/>
      <c r="AS163" s="1"/>
      <c r="AT163" s="1"/>
      <c r="AU163" s="1"/>
      <c r="AV163" s="2">
        <v>15260659</v>
      </c>
      <c r="AW163" s="1">
        <v>15931873</v>
      </c>
      <c r="AX163" s="1">
        <v>24664451</v>
      </c>
      <c r="AY163" s="1">
        <v>21408386</v>
      </c>
      <c r="AZ163" s="1">
        <v>23066905</v>
      </c>
      <c r="BA163" s="1">
        <v>19107058</v>
      </c>
      <c r="BB163" s="1"/>
      <c r="BC163" s="1"/>
      <c r="BD163" s="1">
        <v>1597546</v>
      </c>
      <c r="BE163" s="1">
        <v>2297899</v>
      </c>
      <c r="BF163" s="1"/>
      <c r="BG163" s="1">
        <v>3429</v>
      </c>
      <c r="BH163" s="1"/>
      <c r="BI163" s="1">
        <v>115128</v>
      </c>
      <c r="BJ163" s="1"/>
      <c r="BK163" s="1"/>
      <c r="BL163" s="1">
        <v>5496564</v>
      </c>
      <c r="BM163" s="1">
        <v>5730306</v>
      </c>
      <c r="BN163" s="1"/>
      <c r="BO163" s="1"/>
      <c r="BP163" s="1">
        <v>194340</v>
      </c>
      <c r="BQ163" s="1"/>
      <c r="BR163" s="1"/>
      <c r="BS163" s="1"/>
      <c r="BT163" s="1">
        <v>104537</v>
      </c>
      <c r="BU163" s="1"/>
      <c r="BV163" s="1">
        <v>13892</v>
      </c>
      <c r="BW163" s="1">
        <v>448</v>
      </c>
      <c r="BX163" s="1">
        <v>4189743</v>
      </c>
      <c r="BY163" s="1">
        <v>3924212</v>
      </c>
      <c r="BZ163" s="1">
        <v>979061</v>
      </c>
      <c r="CA163" s="1">
        <v>1802205</v>
      </c>
      <c r="CB163" s="1">
        <v>3420</v>
      </c>
      <c r="CC163" s="1">
        <v>3441</v>
      </c>
      <c r="CD163" s="1"/>
      <c r="CE163" s="1"/>
      <c r="CF163" s="1">
        <v>11571</v>
      </c>
      <c r="CG163" s="1"/>
      <c r="CH163" s="1"/>
      <c r="CI163" s="1"/>
      <c r="CJ163" s="1">
        <v>584094</v>
      </c>
      <c r="CK163" s="1">
        <v>272423</v>
      </c>
      <c r="CL163" s="1"/>
      <c r="CM163" s="1"/>
      <c r="CN163" s="1">
        <v>68845</v>
      </c>
      <c r="CO163" s="1">
        <v>235487</v>
      </c>
      <c r="CP163" s="1">
        <v>479170</v>
      </c>
      <c r="CQ163" s="1"/>
      <c r="CR163" s="1">
        <v>36079</v>
      </c>
      <c r="CS163" s="1">
        <v>36936</v>
      </c>
      <c r="CT163" s="1"/>
      <c r="CU163" s="1"/>
      <c r="CV163" s="1"/>
      <c r="CW163" s="1"/>
      <c r="CX163" s="2">
        <v>30745109</v>
      </c>
      <c r="CY163" s="1">
        <v>27526243</v>
      </c>
      <c r="CZ163" s="1">
        <v>46005768</v>
      </c>
      <c r="DA163" s="1">
        <v>43458116</v>
      </c>
      <c r="DB163" s="1">
        <v>968955</v>
      </c>
      <c r="DC163" s="1">
        <v>968955</v>
      </c>
      <c r="DD163" s="1">
        <v>63751</v>
      </c>
      <c r="DE163" s="1">
        <v>63751</v>
      </c>
      <c r="DF163" s="1">
        <v>2922346</v>
      </c>
      <c r="DG163" s="1">
        <v>5182147</v>
      </c>
      <c r="DH163" s="1"/>
      <c r="DI163" s="1"/>
      <c r="DJ163" s="1">
        <v>1760667</v>
      </c>
      <c r="DK163" s="1">
        <v>2692735</v>
      </c>
      <c r="DL163" s="24"/>
      <c r="DM163" s="24"/>
      <c r="DN163" s="1"/>
      <c r="DO163" s="1"/>
      <c r="DP163" s="2">
        <v>5715719</v>
      </c>
      <c r="DQ163" s="1">
        <v>8907588</v>
      </c>
      <c r="DR163" s="2">
        <v>12785092</v>
      </c>
      <c r="DS163" s="1">
        <v>11429958</v>
      </c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>
        <v>12785092</v>
      </c>
      <c r="EK163" s="1">
        <v>11429958</v>
      </c>
      <c r="EL163" s="1"/>
      <c r="EM163" s="1"/>
      <c r="EN163" s="1"/>
      <c r="EO163" s="1"/>
      <c r="EP163" s="2">
        <v>27504957</v>
      </c>
      <c r="EQ163" s="1">
        <v>23120570</v>
      </c>
      <c r="ER163" s="1">
        <v>2230432</v>
      </c>
      <c r="ES163" s="1">
        <v>6095060</v>
      </c>
      <c r="ET163" s="1"/>
      <c r="EU163" s="1"/>
      <c r="EV163" s="1">
        <v>1521450</v>
      </c>
      <c r="EW163" s="1">
        <v>281675</v>
      </c>
      <c r="EX163" s="1"/>
      <c r="EY163" s="1"/>
      <c r="EZ163" s="1">
        <v>153582</v>
      </c>
      <c r="FA163" s="1">
        <v>5354253</v>
      </c>
      <c r="FB163" s="1"/>
      <c r="FC163" s="1"/>
      <c r="FD163" s="1"/>
      <c r="FE163" s="1"/>
      <c r="FF163" s="1"/>
      <c r="FG163" s="1"/>
      <c r="FH163" s="1">
        <v>14152</v>
      </c>
      <c r="FI163" s="1"/>
      <c r="FJ163" s="1">
        <v>215206</v>
      </c>
      <c r="FK163" s="1">
        <v>11123</v>
      </c>
      <c r="FL163" s="1"/>
      <c r="FM163" s="1"/>
      <c r="FN163" s="1">
        <v>82615</v>
      </c>
      <c r="FO163" s="1">
        <v>55329</v>
      </c>
      <c r="FP163" s="1">
        <v>242634</v>
      </c>
      <c r="FQ163" s="1">
        <v>392680</v>
      </c>
      <c r="FR163" s="1">
        <v>793</v>
      </c>
      <c r="FS163" s="1"/>
      <c r="FT163" s="1">
        <v>6850001</v>
      </c>
      <c r="FU163" s="1">
        <v>1</v>
      </c>
      <c r="FV163" s="1">
        <v>18424524</v>
      </c>
      <c r="FW163" s="1">
        <v>17025509</v>
      </c>
      <c r="FX163" s="1"/>
      <c r="FY163" s="1"/>
      <c r="FZ163" s="1"/>
      <c r="GA163" s="1"/>
      <c r="GB163" s="1">
        <v>40290049</v>
      </c>
      <c r="GC163" s="1">
        <v>34550528</v>
      </c>
      <c r="GD163" s="1">
        <v>46005768</v>
      </c>
      <c r="GE163" s="1">
        <v>43458116</v>
      </c>
    </row>
    <row r="164" spans="1:187" s="3" customFormat="1" ht="12" x14ac:dyDescent="0.2">
      <c r="A164" s="1">
        <v>20006</v>
      </c>
      <c r="B164" s="1">
        <v>0</v>
      </c>
      <c r="C164" s="1">
        <v>201157842</v>
      </c>
      <c r="D164" s="1" t="s">
        <v>164</v>
      </c>
      <c r="E164" s="1">
        <v>33</v>
      </c>
      <c r="F164" s="1">
        <v>8</v>
      </c>
      <c r="G164" s="1">
        <v>0</v>
      </c>
      <c r="H164" s="1">
        <v>1</v>
      </c>
      <c r="I164" s="1">
        <v>2019</v>
      </c>
      <c r="J164" s="1">
        <v>4</v>
      </c>
      <c r="K164" s="1" t="s">
        <v>0</v>
      </c>
      <c r="L164" s="1">
        <v>1</v>
      </c>
      <c r="M164" s="1">
        <v>30</v>
      </c>
      <c r="N164" s="1">
        <v>0</v>
      </c>
      <c r="O164" s="1">
        <v>43876.514131944445</v>
      </c>
      <c r="P164" s="1">
        <v>7026833</v>
      </c>
      <c r="Q164" s="1">
        <v>18027988</v>
      </c>
      <c r="R164" s="1">
        <v>4248954</v>
      </c>
      <c r="S164" s="1">
        <v>4688916</v>
      </c>
      <c r="T164" s="1">
        <v>2777879</v>
      </c>
      <c r="U164" s="1">
        <v>13339072</v>
      </c>
      <c r="V164" s="1"/>
      <c r="W164" s="1"/>
      <c r="X164" s="1"/>
      <c r="Y164" s="1"/>
      <c r="Z164" s="1"/>
      <c r="AA164" s="1"/>
      <c r="AB164" s="1">
        <v>1863750</v>
      </c>
      <c r="AC164" s="1">
        <v>1869054</v>
      </c>
      <c r="AD164" s="1"/>
      <c r="AE164" s="1"/>
      <c r="AF164" s="1">
        <v>173470</v>
      </c>
      <c r="AG164" s="1">
        <v>173470</v>
      </c>
      <c r="AH164" s="1"/>
      <c r="AI164" s="1"/>
      <c r="AJ164" s="1"/>
      <c r="AK164" s="1"/>
      <c r="AL164" s="1">
        <v>1690280</v>
      </c>
      <c r="AM164" s="1">
        <v>1695584</v>
      </c>
      <c r="AN164" s="1"/>
      <c r="AO164" s="1"/>
      <c r="AP164" s="1"/>
      <c r="AQ164" s="1"/>
      <c r="AR164" s="1">
        <v>1179</v>
      </c>
      <c r="AS164" s="1">
        <v>0</v>
      </c>
      <c r="AT164" s="1"/>
      <c r="AU164" s="1"/>
      <c r="AV164" s="2">
        <v>4642808</v>
      </c>
      <c r="AW164" s="1">
        <v>15208126</v>
      </c>
      <c r="AX164" s="1">
        <v>11290391</v>
      </c>
      <c r="AY164" s="1">
        <v>25003226</v>
      </c>
      <c r="AZ164" s="1">
        <v>10304072</v>
      </c>
      <c r="BA164" s="1">
        <v>23398783</v>
      </c>
      <c r="BB164" s="1">
        <v>99</v>
      </c>
      <c r="BC164" s="1"/>
      <c r="BD164" s="1">
        <v>982791</v>
      </c>
      <c r="BE164" s="1">
        <v>1601014</v>
      </c>
      <c r="BF164" s="1">
        <v>3429</v>
      </c>
      <c r="BG164" s="1">
        <v>3429</v>
      </c>
      <c r="BH164" s="1"/>
      <c r="BI164" s="1"/>
      <c r="BJ164" s="1"/>
      <c r="BK164" s="1"/>
      <c r="BL164" s="1">
        <v>3273392.4</v>
      </c>
      <c r="BM164" s="1">
        <v>5535225</v>
      </c>
      <c r="BN164" s="1"/>
      <c r="BO164" s="1"/>
      <c r="BP164" s="1">
        <v>116691</v>
      </c>
      <c r="BQ164" s="1">
        <v>121735</v>
      </c>
      <c r="BR164" s="1"/>
      <c r="BS164" s="1"/>
      <c r="BT164" s="1">
        <v>492670</v>
      </c>
      <c r="BU164" s="1">
        <v>104537</v>
      </c>
      <c r="BV164" s="1"/>
      <c r="BW164" s="1">
        <v>5846</v>
      </c>
      <c r="BX164" s="1">
        <v>1639641</v>
      </c>
      <c r="BY164" s="1">
        <v>2913061</v>
      </c>
      <c r="BZ164" s="1">
        <v>105227</v>
      </c>
      <c r="CA164" s="1">
        <v>396350</v>
      </c>
      <c r="CB164" s="1">
        <v>182188</v>
      </c>
      <c r="CC164" s="1">
        <v>1999</v>
      </c>
      <c r="CD164" s="1"/>
      <c r="CE164" s="1"/>
      <c r="CF164" s="1">
        <v>516471</v>
      </c>
      <c r="CG164" s="1">
        <v>10822</v>
      </c>
      <c r="CH164" s="1">
        <v>220504.4</v>
      </c>
      <c r="CI164" s="1">
        <v>1980875</v>
      </c>
      <c r="CJ164" s="1">
        <v>457357.6</v>
      </c>
      <c r="CK164" s="1">
        <v>572089</v>
      </c>
      <c r="CL164" s="1"/>
      <c r="CM164" s="1"/>
      <c r="CN164" s="1">
        <v>434921.3</v>
      </c>
      <c r="CO164" s="1">
        <v>105172</v>
      </c>
      <c r="CP164" s="1"/>
      <c r="CQ164" s="1">
        <v>466345</v>
      </c>
      <c r="CR164" s="1">
        <v>22436.3</v>
      </c>
      <c r="CS164" s="1">
        <v>572</v>
      </c>
      <c r="CT164" s="1"/>
      <c r="CU164" s="1"/>
      <c r="CV164" s="1"/>
      <c r="CW164" s="1"/>
      <c r="CX164" s="2">
        <v>15021141</v>
      </c>
      <c r="CY164" s="1">
        <v>31110540</v>
      </c>
      <c r="CZ164" s="1">
        <v>19663949</v>
      </c>
      <c r="DA164" s="1">
        <v>46318666</v>
      </c>
      <c r="DB164" s="1">
        <v>968955</v>
      </c>
      <c r="DC164" s="1">
        <v>968955</v>
      </c>
      <c r="DD164" s="1">
        <v>63751</v>
      </c>
      <c r="DE164" s="1">
        <v>63751</v>
      </c>
      <c r="DF164" s="1">
        <v>2390810</v>
      </c>
      <c r="DG164" s="1">
        <v>2509557</v>
      </c>
      <c r="DH164" s="1"/>
      <c r="DI164" s="1"/>
      <c r="DJ164" s="1">
        <v>649728</v>
      </c>
      <c r="DK164" s="1">
        <v>2183010</v>
      </c>
      <c r="DL164" s="24"/>
      <c r="DM164" s="24"/>
      <c r="DN164" s="1"/>
      <c r="DO164" s="1"/>
      <c r="DP164" s="2">
        <v>4073244</v>
      </c>
      <c r="DQ164" s="1">
        <v>5725273</v>
      </c>
      <c r="DR164" s="2">
        <v>490000</v>
      </c>
      <c r="DS164" s="1">
        <v>11957151</v>
      </c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>
        <v>490000</v>
      </c>
      <c r="EK164" s="1">
        <v>11957151</v>
      </c>
      <c r="EL164" s="1"/>
      <c r="EM164" s="1"/>
      <c r="EN164" s="1"/>
      <c r="EO164" s="1"/>
      <c r="EP164" s="2">
        <v>15100705</v>
      </c>
      <c r="EQ164" s="1">
        <v>28636242</v>
      </c>
      <c r="ER164" s="1">
        <v>2058051.4</v>
      </c>
      <c r="ES164" s="1">
        <v>3361717</v>
      </c>
      <c r="ET164" s="1"/>
      <c r="EU164" s="1"/>
      <c r="EV164" s="1">
        <v>480346</v>
      </c>
      <c r="EW164" s="1">
        <v>2464655</v>
      </c>
      <c r="EX164" s="1"/>
      <c r="EY164" s="1"/>
      <c r="EZ164" s="1">
        <v>629872</v>
      </c>
      <c r="FA164" s="1">
        <v>483589</v>
      </c>
      <c r="FB164" s="1"/>
      <c r="FC164" s="1"/>
      <c r="FD164" s="1"/>
      <c r="FE164" s="1"/>
      <c r="FF164" s="1"/>
      <c r="FG164" s="1"/>
      <c r="FH164" s="1"/>
      <c r="FI164" s="1"/>
      <c r="FJ164" s="1">
        <v>602247.6</v>
      </c>
      <c r="FK164" s="1">
        <v>47716</v>
      </c>
      <c r="FL164" s="1"/>
      <c r="FM164" s="1"/>
      <c r="FN164" s="1">
        <v>98747.8</v>
      </c>
      <c r="FO164" s="1">
        <v>128454</v>
      </c>
      <c r="FP164" s="1">
        <v>236614</v>
      </c>
      <c r="FQ164" s="1">
        <v>237303</v>
      </c>
      <c r="FR164" s="1">
        <v>7490</v>
      </c>
      <c r="FS164" s="1"/>
      <c r="FT164" s="1">
        <v>3551568</v>
      </c>
      <c r="FU164" s="1">
        <v>6850001</v>
      </c>
      <c r="FV164" s="1">
        <v>9491085.5999999996</v>
      </c>
      <c r="FW164" s="1">
        <v>18424524</v>
      </c>
      <c r="FX164" s="1"/>
      <c r="FY164" s="1"/>
      <c r="FZ164" s="1">
        <v>2734</v>
      </c>
      <c r="GA164" s="1"/>
      <c r="GB164" s="1">
        <v>15590705</v>
      </c>
      <c r="GC164" s="1">
        <v>40593393</v>
      </c>
      <c r="GD164" s="1">
        <v>19663949</v>
      </c>
      <c r="GE164" s="1">
        <v>46318666</v>
      </c>
    </row>
    <row r="165" spans="1:187" s="3" customFormat="1" x14ac:dyDescent="0.25">
      <c r="A165" s="1">
        <v>20006</v>
      </c>
      <c r="B165" s="1">
        <v>0</v>
      </c>
      <c r="C165" s="3">
        <v>201157842</v>
      </c>
      <c r="D165" s="3" t="s">
        <v>164</v>
      </c>
      <c r="E165" s="4">
        <v>33</v>
      </c>
      <c r="F165" s="4">
        <v>8</v>
      </c>
      <c r="G165" s="4">
        <v>0</v>
      </c>
      <c r="H165" s="4">
        <v>1</v>
      </c>
      <c r="I165" s="1">
        <v>2018</v>
      </c>
      <c r="J165" s="1">
        <v>4</v>
      </c>
      <c r="K165" s="3" t="s">
        <v>0</v>
      </c>
      <c r="L165" s="1">
        <v>1</v>
      </c>
      <c r="M165" s="1">
        <v>30</v>
      </c>
      <c r="N165" s="5">
        <v>0</v>
      </c>
      <c r="O165" s="6">
        <v>43580.694108796299</v>
      </c>
      <c r="P165" s="1">
        <v>6727084</v>
      </c>
      <c r="Q165" s="1">
        <v>7201834</v>
      </c>
      <c r="R165" s="1">
        <v>4102605</v>
      </c>
      <c r="S165" s="1">
        <v>4326824</v>
      </c>
      <c r="T165" s="1">
        <v>2624479</v>
      </c>
      <c r="U165" s="1">
        <v>2875010</v>
      </c>
      <c r="V165" s="1"/>
      <c r="W165" s="1"/>
      <c r="X165" s="1"/>
      <c r="Y165" s="1"/>
      <c r="Z165" s="1"/>
      <c r="AA165" s="1"/>
      <c r="AB165" s="1">
        <v>1863750</v>
      </c>
      <c r="AC165" s="1">
        <v>1863750</v>
      </c>
      <c r="AD165" s="1">
        <v>173470</v>
      </c>
      <c r="AE165" s="1">
        <v>173470</v>
      </c>
      <c r="AF165" s="1"/>
      <c r="AG165" s="1"/>
      <c r="AH165" s="1"/>
      <c r="AI165" s="1"/>
      <c r="AJ165" s="1"/>
      <c r="AK165" s="1"/>
      <c r="AL165" s="1">
        <v>1690280</v>
      </c>
      <c r="AM165" s="1">
        <v>1690280</v>
      </c>
      <c r="AN165" s="1"/>
      <c r="AO165" s="1"/>
      <c r="AP165" s="1"/>
      <c r="AQ165" s="1">
        <v>23837</v>
      </c>
      <c r="AR165" s="1">
        <v>1179</v>
      </c>
      <c r="AS165" s="1">
        <v>0</v>
      </c>
      <c r="AT165" s="1"/>
      <c r="AU165" s="1"/>
      <c r="AV165" s="2">
        <v>4489408</v>
      </c>
      <c r="AW165" s="1">
        <v>4762597</v>
      </c>
      <c r="AX165" s="1">
        <v>11290391</v>
      </c>
      <c r="AY165" s="1">
        <v>8342213</v>
      </c>
      <c r="AZ165" s="1">
        <v>10304072</v>
      </c>
      <c r="BA165" s="1">
        <v>7688362</v>
      </c>
      <c r="BB165" s="1">
        <v>99</v>
      </c>
      <c r="BC165" s="1">
        <v>0</v>
      </c>
      <c r="BD165" s="1">
        <v>982791</v>
      </c>
      <c r="BE165" s="1">
        <v>650422</v>
      </c>
      <c r="BF165" s="1">
        <v>3429</v>
      </c>
      <c r="BG165" s="1">
        <v>3429</v>
      </c>
      <c r="BH165" s="1"/>
      <c r="BI165" s="1"/>
      <c r="BJ165" s="1"/>
      <c r="BK165" s="1"/>
      <c r="BL165" s="1">
        <v>3273392</v>
      </c>
      <c r="BM165" s="1">
        <v>1830043</v>
      </c>
      <c r="BN165" s="1"/>
      <c r="BO165" s="1"/>
      <c r="BP165" s="1">
        <v>116691</v>
      </c>
      <c r="BQ165" s="1">
        <v>65392</v>
      </c>
      <c r="BR165" s="1"/>
      <c r="BS165" s="1"/>
      <c r="BT165" s="1">
        <v>492670</v>
      </c>
      <c r="BU165" s="1">
        <v>492670</v>
      </c>
      <c r="BV165" s="1"/>
      <c r="BW165" s="1">
        <v>4588</v>
      </c>
      <c r="BX165" s="1">
        <v>1639641</v>
      </c>
      <c r="BY165" s="1">
        <v>645653</v>
      </c>
      <c r="BZ165" s="1">
        <v>105227</v>
      </c>
      <c r="CA165" s="1">
        <v>63505</v>
      </c>
      <c r="CB165" s="1">
        <v>182188</v>
      </c>
      <c r="CC165" s="1">
        <v>404380</v>
      </c>
      <c r="CD165" s="1"/>
      <c r="CE165" s="1"/>
      <c r="CF165" s="1">
        <v>516471</v>
      </c>
      <c r="CG165" s="1"/>
      <c r="CH165" s="1">
        <v>220504</v>
      </c>
      <c r="CI165" s="1">
        <v>153855</v>
      </c>
      <c r="CJ165" s="1">
        <v>457357</v>
      </c>
      <c r="CK165" s="1">
        <v>8582205</v>
      </c>
      <c r="CL165" s="1"/>
      <c r="CM165" s="1"/>
      <c r="CN165" s="1">
        <v>434921</v>
      </c>
      <c r="CO165" s="1">
        <v>8557151</v>
      </c>
      <c r="CP165" s="1"/>
      <c r="CQ165" s="1"/>
      <c r="CR165" s="1">
        <v>22436</v>
      </c>
      <c r="CS165" s="1">
        <v>25054</v>
      </c>
      <c r="CT165" s="1"/>
      <c r="CU165" s="1"/>
      <c r="CV165" s="1"/>
      <c r="CW165" s="1"/>
      <c r="CX165" s="2">
        <v>15021140</v>
      </c>
      <c r="CY165" s="1">
        <v>18754461</v>
      </c>
      <c r="CZ165" s="1">
        <v>19510548</v>
      </c>
      <c r="DA165" s="1">
        <v>23517058</v>
      </c>
      <c r="DB165" s="1">
        <v>968955</v>
      </c>
      <c r="DC165" s="1">
        <v>968955</v>
      </c>
      <c r="DD165" s="1">
        <v>63750</v>
      </c>
      <c r="DE165" s="1">
        <v>63751</v>
      </c>
      <c r="DF165" s="1">
        <v>2237410</v>
      </c>
      <c r="DG165" s="1">
        <v>2828034</v>
      </c>
      <c r="DH165" s="1"/>
      <c r="DI165" s="1"/>
      <c r="DJ165" s="1">
        <v>649728</v>
      </c>
      <c r="DK165" s="1">
        <v>960664</v>
      </c>
      <c r="DL165" s="24"/>
      <c r="DM165" s="24"/>
      <c r="DN165" s="1"/>
      <c r="DO165" s="1"/>
      <c r="DP165" s="2">
        <v>3919843</v>
      </c>
      <c r="DQ165" s="1">
        <v>4821404</v>
      </c>
      <c r="DR165" s="2">
        <v>490000</v>
      </c>
      <c r="DS165" s="1">
        <v>1018234</v>
      </c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>
        <v>490000</v>
      </c>
      <c r="EK165" s="1">
        <v>1018234</v>
      </c>
      <c r="EL165" s="1"/>
      <c r="EM165" s="1"/>
      <c r="EN165" s="1"/>
      <c r="EO165" s="1"/>
      <c r="EP165" s="2">
        <v>15100705</v>
      </c>
      <c r="EQ165" s="1">
        <v>17677420</v>
      </c>
      <c r="ER165" s="1">
        <v>2058051</v>
      </c>
      <c r="ES165" s="1">
        <v>3597703</v>
      </c>
      <c r="ET165" s="1"/>
      <c r="EU165" s="1"/>
      <c r="EV165" s="1">
        <v>480345</v>
      </c>
      <c r="EW165" s="1">
        <v>602487</v>
      </c>
      <c r="EX165" s="1"/>
      <c r="EY165" s="1"/>
      <c r="EZ165" s="1">
        <v>629872</v>
      </c>
      <c r="FA165" s="1">
        <v>2270218</v>
      </c>
      <c r="FB165" s="1"/>
      <c r="FC165" s="1"/>
      <c r="FD165" s="1"/>
      <c r="FE165" s="1"/>
      <c r="FF165" s="1"/>
      <c r="FG165" s="1"/>
      <c r="FH165" s="1"/>
      <c r="FI165" s="1"/>
      <c r="FJ165" s="1">
        <v>602248</v>
      </c>
      <c r="FK165" s="1">
        <v>210800</v>
      </c>
      <c r="FL165" s="1"/>
      <c r="FM165" s="1"/>
      <c r="FN165" s="1">
        <v>98748</v>
      </c>
      <c r="FO165" s="1">
        <v>122287</v>
      </c>
      <c r="FP165" s="1">
        <v>236614</v>
      </c>
      <c r="FQ165" s="1">
        <v>390473</v>
      </c>
      <c r="FR165" s="1">
        <v>7490</v>
      </c>
      <c r="FS165" s="1">
        <v>1438</v>
      </c>
      <c r="FT165" s="1">
        <v>3551568</v>
      </c>
      <c r="FU165" s="1">
        <v>9135884</v>
      </c>
      <c r="FV165" s="1">
        <v>9491086</v>
      </c>
      <c r="FW165" s="1">
        <v>4943833</v>
      </c>
      <c r="FX165" s="1"/>
      <c r="FY165" s="1"/>
      <c r="FZ165" s="1">
        <v>2734</v>
      </c>
      <c r="GA165" s="1"/>
      <c r="GB165" s="1">
        <v>15590705</v>
      </c>
      <c r="GC165" s="1">
        <v>18695654</v>
      </c>
      <c r="GD165" s="1">
        <v>19510548</v>
      </c>
      <c r="GE165" s="1">
        <v>23517058</v>
      </c>
    </row>
    <row r="166" spans="1:187" s="3" customFormat="1" ht="12" x14ac:dyDescent="0.2">
      <c r="A166" s="1">
        <v>20006</v>
      </c>
      <c r="B166" s="1">
        <v>0</v>
      </c>
      <c r="C166" s="1">
        <v>300264462</v>
      </c>
      <c r="D166" s="1" t="s">
        <v>165</v>
      </c>
      <c r="E166" s="1">
        <v>26</v>
      </c>
      <c r="F166" s="1">
        <v>4</v>
      </c>
      <c r="G166" s="1">
        <v>0</v>
      </c>
      <c r="H166" s="1">
        <v>12</v>
      </c>
      <c r="I166" s="1">
        <v>2021</v>
      </c>
      <c r="J166" s="1">
        <v>4</v>
      </c>
      <c r="K166" s="1" t="s">
        <v>0</v>
      </c>
      <c r="L166" s="1">
        <v>1</v>
      </c>
      <c r="M166" s="1">
        <v>30</v>
      </c>
      <c r="N166" s="1">
        <v>0</v>
      </c>
      <c r="O166" s="1">
        <v>44585.625752314816</v>
      </c>
      <c r="P166" s="1">
        <v>1215646.32</v>
      </c>
      <c r="Q166" s="1">
        <v>2477532.98</v>
      </c>
      <c r="R166" s="1">
        <v>1013183.15</v>
      </c>
      <c r="S166" s="1">
        <v>1043017.5</v>
      </c>
      <c r="T166" s="1">
        <v>202463.17</v>
      </c>
      <c r="U166" s="1">
        <v>1434515.48</v>
      </c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>
        <v>71727.16</v>
      </c>
      <c r="AQ166" s="1"/>
      <c r="AR166" s="1"/>
      <c r="AS166" s="1"/>
      <c r="AT166" s="1"/>
      <c r="AU166" s="1"/>
      <c r="AV166" s="2">
        <v>274190.33</v>
      </c>
      <c r="AW166" s="1">
        <v>1434515.48</v>
      </c>
      <c r="AX166" s="1">
        <v>809954.27</v>
      </c>
      <c r="AY166" s="1">
        <v>230262.62</v>
      </c>
      <c r="AZ166" s="1">
        <v>14670.1</v>
      </c>
      <c r="BA166" s="1">
        <v>14670.1</v>
      </c>
      <c r="BB166" s="1"/>
      <c r="BC166" s="1"/>
      <c r="BD166" s="1">
        <v>476555.91</v>
      </c>
      <c r="BE166" s="1"/>
      <c r="BF166" s="1">
        <v>318728.26</v>
      </c>
      <c r="BG166" s="1">
        <v>215592.52</v>
      </c>
      <c r="BH166" s="1">
        <v>9233.5300000000007</v>
      </c>
      <c r="BI166" s="1">
        <v>2115.25</v>
      </c>
      <c r="BJ166" s="1"/>
      <c r="BK166" s="1"/>
      <c r="BL166" s="1">
        <v>1829724.65</v>
      </c>
      <c r="BM166" s="1">
        <v>2478530.5499999998</v>
      </c>
      <c r="BN166" s="1"/>
      <c r="BO166" s="1"/>
      <c r="BP166" s="1"/>
      <c r="BQ166" s="1">
        <v>66530.81</v>
      </c>
      <c r="BR166" s="1"/>
      <c r="BS166" s="1"/>
      <c r="BT166" s="1"/>
      <c r="BU166" s="1"/>
      <c r="BV166" s="1"/>
      <c r="BW166" s="1"/>
      <c r="BX166" s="1">
        <v>1691359.6</v>
      </c>
      <c r="BY166" s="1">
        <v>2256101.23</v>
      </c>
      <c r="BZ166" s="1">
        <v>24468.11</v>
      </c>
      <c r="CA166" s="1">
        <v>13437.37</v>
      </c>
      <c r="CB166" s="1"/>
      <c r="CC166" s="1"/>
      <c r="CD166" s="1"/>
      <c r="CE166" s="1"/>
      <c r="CF166" s="1"/>
      <c r="CG166" s="1"/>
      <c r="CH166" s="1">
        <v>113896.94</v>
      </c>
      <c r="CI166" s="1">
        <v>142461.14000000001</v>
      </c>
      <c r="CJ166" s="1">
        <v>111.12</v>
      </c>
      <c r="CK166" s="1">
        <v>61112.22</v>
      </c>
      <c r="CL166" s="1"/>
      <c r="CM166" s="1"/>
      <c r="CN166" s="1">
        <v>111.12</v>
      </c>
      <c r="CO166" s="1">
        <v>61112.22</v>
      </c>
      <c r="CP166" s="1"/>
      <c r="CQ166" s="1"/>
      <c r="CR166" s="1"/>
      <c r="CS166" s="1"/>
      <c r="CT166" s="1">
        <v>838250</v>
      </c>
      <c r="CU166" s="1">
        <v>959851.6</v>
      </c>
      <c r="CV166" s="1"/>
      <c r="CW166" s="1"/>
      <c r="CX166" s="2">
        <v>3487273.57</v>
      </c>
      <c r="CY166" s="1">
        <v>3731872.24</v>
      </c>
      <c r="CZ166" s="1">
        <v>3761463.9</v>
      </c>
      <c r="DA166" s="1">
        <v>5166387.72</v>
      </c>
      <c r="DB166" s="1">
        <v>6888</v>
      </c>
      <c r="DC166" s="1">
        <v>1194058.29</v>
      </c>
      <c r="DD166" s="1"/>
      <c r="DE166" s="1"/>
      <c r="DF166" s="1">
        <v>231511.42</v>
      </c>
      <c r="DG166" s="1">
        <v>231511.42</v>
      </c>
      <c r="DH166" s="1"/>
      <c r="DI166" s="1"/>
      <c r="DJ166" s="1">
        <v>710858.09</v>
      </c>
      <c r="DK166" s="1">
        <v>1245916.52</v>
      </c>
      <c r="DL166" s="24"/>
      <c r="DM166" s="24"/>
      <c r="DN166" s="1"/>
      <c r="DO166" s="1"/>
      <c r="DP166" s="2">
        <v>949257.51</v>
      </c>
      <c r="DQ166" s="1">
        <v>2671486.23</v>
      </c>
      <c r="DR166" s="2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2">
        <v>2812206.39</v>
      </c>
      <c r="EQ166" s="1">
        <v>2494901.4900000002</v>
      </c>
      <c r="ER166" s="1">
        <v>2364836.7799999998</v>
      </c>
      <c r="ES166" s="1">
        <v>1378142.32</v>
      </c>
      <c r="ET166" s="1"/>
      <c r="EU166" s="1"/>
      <c r="EV166" s="1">
        <v>23329.89</v>
      </c>
      <c r="EW166" s="1">
        <v>6282.87</v>
      </c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>
        <v>2331000.36</v>
      </c>
      <c r="FI166" s="1">
        <v>1301450.3700000001</v>
      </c>
      <c r="FJ166" s="1">
        <v>1679.12</v>
      </c>
      <c r="FK166" s="1">
        <v>70409.02</v>
      </c>
      <c r="FL166" s="1">
        <v>141.1</v>
      </c>
      <c r="FM166" s="1"/>
      <c r="FN166" s="1"/>
      <c r="FO166" s="1"/>
      <c r="FP166" s="1"/>
      <c r="FQ166" s="1"/>
      <c r="FR166" s="1">
        <v>8672.2000000000007</v>
      </c>
      <c r="FS166" s="1">
        <v>0.06</v>
      </c>
      <c r="FT166" s="1"/>
      <c r="FU166" s="1"/>
      <c r="FV166" s="1">
        <v>447369.61</v>
      </c>
      <c r="FW166" s="1">
        <v>1116759.17</v>
      </c>
      <c r="FX166" s="1"/>
      <c r="FY166" s="1"/>
      <c r="FZ166" s="1">
        <v>14.11</v>
      </c>
      <c r="GA166" s="1"/>
      <c r="GB166" s="1">
        <v>2812206.39</v>
      </c>
      <c r="GC166" s="1">
        <v>2494901.4900000002</v>
      </c>
      <c r="GD166" s="1">
        <v>3761463.9</v>
      </c>
      <c r="GE166" s="1">
        <v>5166387.72</v>
      </c>
    </row>
    <row r="167" spans="1:187" s="3" customFormat="1" ht="12" x14ac:dyDescent="0.2">
      <c r="A167" s="1">
        <v>20006</v>
      </c>
      <c r="B167" s="1">
        <v>0</v>
      </c>
      <c r="C167" s="1">
        <v>300264462</v>
      </c>
      <c r="D167" s="1" t="s">
        <v>165</v>
      </c>
      <c r="E167" s="1">
        <v>26</v>
      </c>
      <c r="F167" s="1">
        <v>4</v>
      </c>
      <c r="G167" s="1">
        <v>0</v>
      </c>
      <c r="H167" s="1">
        <v>12</v>
      </c>
      <c r="I167" s="1">
        <v>2020</v>
      </c>
      <c r="J167" s="1">
        <v>4</v>
      </c>
      <c r="K167" s="1" t="s">
        <v>0</v>
      </c>
      <c r="L167" s="1">
        <v>1</v>
      </c>
      <c r="M167" s="1">
        <v>30</v>
      </c>
      <c r="N167" s="1">
        <v>0</v>
      </c>
      <c r="O167" s="1">
        <v>44223.918055555558</v>
      </c>
      <c r="P167" s="1">
        <v>1198629.18</v>
      </c>
      <c r="Q167" s="1">
        <v>1215646.32</v>
      </c>
      <c r="R167" s="1">
        <v>924574.56</v>
      </c>
      <c r="S167" s="1">
        <v>1013183.15</v>
      </c>
      <c r="T167" s="1">
        <v>274054.62</v>
      </c>
      <c r="U167" s="1">
        <v>202463.17</v>
      </c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>
        <v>60252.63</v>
      </c>
      <c r="AQ167" s="1">
        <v>71727.16</v>
      </c>
      <c r="AR167" s="1"/>
      <c r="AS167" s="1"/>
      <c r="AT167" s="1"/>
      <c r="AU167" s="1"/>
      <c r="AV167" s="2">
        <v>334307.25</v>
      </c>
      <c r="AW167" s="1">
        <v>274190.33</v>
      </c>
      <c r="AX167" s="1">
        <v>2613.34</v>
      </c>
      <c r="AY167" s="1">
        <v>809954.27</v>
      </c>
      <c r="AZ167" s="1">
        <v>2613.34</v>
      </c>
      <c r="BA167" s="1">
        <v>14670.1</v>
      </c>
      <c r="BB167" s="1"/>
      <c r="BC167" s="1"/>
      <c r="BD167" s="1"/>
      <c r="BE167" s="1">
        <v>476555.91</v>
      </c>
      <c r="BF167" s="1"/>
      <c r="BG167" s="1">
        <v>318728.26</v>
      </c>
      <c r="BH167" s="1">
        <v>3754.6</v>
      </c>
      <c r="BI167" s="1">
        <v>9233.5300000000007</v>
      </c>
      <c r="BJ167" s="1"/>
      <c r="BK167" s="1"/>
      <c r="BL167" s="1">
        <v>8729037.25</v>
      </c>
      <c r="BM167" s="1">
        <v>1829724.65</v>
      </c>
      <c r="BN167" s="1"/>
      <c r="BO167" s="1"/>
      <c r="BP167" s="1">
        <v>236.5</v>
      </c>
      <c r="BQ167" s="1"/>
      <c r="BR167" s="1"/>
      <c r="BS167" s="1"/>
      <c r="BT167" s="1"/>
      <c r="BU167" s="1"/>
      <c r="BV167" s="1"/>
      <c r="BW167" s="1"/>
      <c r="BX167" s="1">
        <v>8383185.2800000003</v>
      </c>
      <c r="BY167" s="1">
        <v>1691359.6</v>
      </c>
      <c r="BZ167" s="1">
        <v>332832.28000000003</v>
      </c>
      <c r="CA167" s="1">
        <v>24468.11</v>
      </c>
      <c r="CB167" s="1"/>
      <c r="CC167" s="1"/>
      <c r="CD167" s="1"/>
      <c r="CE167" s="1"/>
      <c r="CF167" s="1"/>
      <c r="CG167" s="1"/>
      <c r="CH167" s="1">
        <v>12783.19</v>
      </c>
      <c r="CI167" s="1">
        <v>113896.94</v>
      </c>
      <c r="CJ167" s="1">
        <v>96577.62</v>
      </c>
      <c r="CK167" s="1">
        <v>111.12</v>
      </c>
      <c r="CL167" s="1"/>
      <c r="CM167" s="1"/>
      <c r="CN167" s="1">
        <v>12580.32</v>
      </c>
      <c r="CO167" s="1">
        <v>111.12</v>
      </c>
      <c r="CP167" s="1">
        <v>83997.3</v>
      </c>
      <c r="CQ167" s="1"/>
      <c r="CR167" s="1"/>
      <c r="CS167" s="1"/>
      <c r="CT167" s="1">
        <v>88800</v>
      </c>
      <c r="CU167" s="1">
        <v>838250</v>
      </c>
      <c r="CV167" s="1"/>
      <c r="CW167" s="1"/>
      <c r="CX167" s="2">
        <v>8920782.8100000005</v>
      </c>
      <c r="CY167" s="1">
        <v>3487273.57</v>
      </c>
      <c r="CZ167" s="1">
        <v>9255090.0600000005</v>
      </c>
      <c r="DA167" s="1">
        <v>3761463.9</v>
      </c>
      <c r="DB167" s="1">
        <v>6888</v>
      </c>
      <c r="DC167" s="1">
        <v>6888</v>
      </c>
      <c r="DD167" s="1"/>
      <c r="DE167" s="1"/>
      <c r="DF167" s="1">
        <v>224536.87</v>
      </c>
      <c r="DG167" s="1">
        <v>231511.42</v>
      </c>
      <c r="DH167" s="1"/>
      <c r="DI167" s="1"/>
      <c r="DJ167" s="1">
        <v>604008.97</v>
      </c>
      <c r="DK167" s="1">
        <v>710858.09</v>
      </c>
      <c r="DL167" s="24"/>
      <c r="DM167" s="24"/>
      <c r="DN167" s="1"/>
      <c r="DO167" s="1"/>
      <c r="DP167" s="2">
        <v>835433.84</v>
      </c>
      <c r="DQ167" s="1">
        <v>949257.51</v>
      </c>
      <c r="DR167" s="2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2">
        <v>8419656.2200000007</v>
      </c>
      <c r="EQ167" s="1">
        <v>2812206.39</v>
      </c>
      <c r="ER167" s="1">
        <v>21951.98</v>
      </c>
      <c r="ES167" s="1">
        <v>2364836.7799999998</v>
      </c>
      <c r="ET167" s="1"/>
      <c r="EU167" s="1"/>
      <c r="EV167" s="1">
        <v>17381.39</v>
      </c>
      <c r="EW167" s="1">
        <v>23329.89</v>
      </c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>
        <v>2331000.36</v>
      </c>
      <c r="FJ167" s="1">
        <v>1251.28</v>
      </c>
      <c r="FK167" s="1">
        <v>1679.12</v>
      </c>
      <c r="FL167" s="1"/>
      <c r="FM167" s="1">
        <v>141.1</v>
      </c>
      <c r="FN167" s="1"/>
      <c r="FO167" s="1"/>
      <c r="FP167" s="1"/>
      <c r="FQ167" s="1"/>
      <c r="FR167" s="1"/>
      <c r="FS167" s="1">
        <v>8672.2000000000007</v>
      </c>
      <c r="FT167" s="1">
        <v>8131965.0499999998</v>
      </c>
      <c r="FU167" s="1"/>
      <c r="FV167" s="1">
        <v>265739.19</v>
      </c>
      <c r="FW167" s="1">
        <v>447369.61</v>
      </c>
      <c r="FX167" s="1"/>
      <c r="FY167" s="1"/>
      <c r="FZ167" s="1">
        <v>3319.31</v>
      </c>
      <c r="GA167" s="1">
        <v>14.11</v>
      </c>
      <c r="GB167" s="1">
        <v>8419656.2200000007</v>
      </c>
      <c r="GC167" s="1">
        <v>2812206.39</v>
      </c>
      <c r="GD167" s="1">
        <v>9255090.0600000005</v>
      </c>
      <c r="GE167" s="1">
        <v>3761463.9</v>
      </c>
    </row>
    <row r="168" spans="1:187" s="3" customFormat="1" ht="12" x14ac:dyDescent="0.2">
      <c r="A168" s="1">
        <v>20006</v>
      </c>
      <c r="B168" s="1">
        <v>0</v>
      </c>
      <c r="C168" s="1">
        <v>300264462</v>
      </c>
      <c r="D168" s="1" t="s">
        <v>165</v>
      </c>
      <c r="E168" s="1">
        <v>26</v>
      </c>
      <c r="F168" s="1">
        <v>4</v>
      </c>
      <c r="G168" s="1">
        <v>0</v>
      </c>
      <c r="H168" s="1">
        <v>12</v>
      </c>
      <c r="I168" s="1">
        <v>2019</v>
      </c>
      <c r="J168" s="1">
        <v>4</v>
      </c>
      <c r="K168" s="1" t="s">
        <v>0</v>
      </c>
      <c r="L168" s="1">
        <v>2</v>
      </c>
      <c r="M168" s="1">
        <v>30</v>
      </c>
      <c r="N168" s="1">
        <v>0</v>
      </c>
      <c r="O168" s="1">
        <v>44107.760069444441</v>
      </c>
      <c r="P168" s="1">
        <v>1293059.1200000001</v>
      </c>
      <c r="Q168" s="1">
        <v>1198629.18</v>
      </c>
      <c r="R168" s="1">
        <v>881326.03</v>
      </c>
      <c r="S168" s="1">
        <v>924574.56</v>
      </c>
      <c r="T168" s="1">
        <v>411733.09</v>
      </c>
      <c r="U168" s="1">
        <v>274054.62</v>
      </c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>
        <v>60252.63</v>
      </c>
      <c r="AR168" s="1"/>
      <c r="AS168" s="1"/>
      <c r="AT168" s="1"/>
      <c r="AU168" s="1"/>
      <c r="AV168" s="2">
        <v>411733.09</v>
      </c>
      <c r="AW168" s="1">
        <v>334307.25</v>
      </c>
      <c r="AX168" s="1">
        <v>137316.91</v>
      </c>
      <c r="AY168" s="1">
        <v>2613.34</v>
      </c>
      <c r="AZ168" s="1">
        <v>137316.91</v>
      </c>
      <c r="BA168" s="1">
        <v>2613.34</v>
      </c>
      <c r="BB168" s="1"/>
      <c r="BC168" s="1"/>
      <c r="BD168" s="1"/>
      <c r="BE168" s="1"/>
      <c r="BF168" s="1"/>
      <c r="BG168" s="1"/>
      <c r="BH168" s="1">
        <v>72.209999999999994</v>
      </c>
      <c r="BI168" s="1">
        <v>3754.6</v>
      </c>
      <c r="BJ168" s="1"/>
      <c r="BK168" s="1"/>
      <c r="BL168" s="1">
        <v>934474.04</v>
      </c>
      <c r="BM168" s="1">
        <v>8729037.25</v>
      </c>
      <c r="BN168" s="1"/>
      <c r="BO168" s="1"/>
      <c r="BP168" s="1"/>
      <c r="BQ168" s="1">
        <v>236.5</v>
      </c>
      <c r="BR168" s="1"/>
      <c r="BS168" s="1"/>
      <c r="BT168" s="1"/>
      <c r="BU168" s="1"/>
      <c r="BV168" s="1">
        <v>0.1</v>
      </c>
      <c r="BW168" s="1"/>
      <c r="BX168" s="1">
        <v>925250.84</v>
      </c>
      <c r="BY168" s="1">
        <v>8383185.2800000003</v>
      </c>
      <c r="BZ168" s="1">
        <v>552.1</v>
      </c>
      <c r="CA168" s="1">
        <v>332832.28000000003</v>
      </c>
      <c r="CB168" s="1">
        <v>300</v>
      </c>
      <c r="CC168" s="1"/>
      <c r="CD168" s="1"/>
      <c r="CE168" s="1"/>
      <c r="CF168" s="1">
        <v>3600</v>
      </c>
      <c r="CG168" s="1"/>
      <c r="CH168" s="1">
        <v>4771</v>
      </c>
      <c r="CI168" s="1">
        <v>12783.19</v>
      </c>
      <c r="CJ168" s="1">
        <v>49117.8</v>
      </c>
      <c r="CK168" s="1">
        <v>96577.62</v>
      </c>
      <c r="CL168" s="1"/>
      <c r="CM168" s="1"/>
      <c r="CN168" s="1">
        <v>49117.8</v>
      </c>
      <c r="CO168" s="1">
        <v>12580.32</v>
      </c>
      <c r="CP168" s="1"/>
      <c r="CQ168" s="1">
        <v>83997.3</v>
      </c>
      <c r="CR168" s="1"/>
      <c r="CS168" s="1"/>
      <c r="CT168" s="1">
        <v>89200</v>
      </c>
      <c r="CU168" s="1">
        <v>88800</v>
      </c>
      <c r="CV168" s="1"/>
      <c r="CW168" s="1"/>
      <c r="CX168" s="2">
        <v>1210180.96</v>
      </c>
      <c r="CY168" s="1">
        <v>8920782.8100000005</v>
      </c>
      <c r="CZ168" s="1">
        <v>1621914.05</v>
      </c>
      <c r="DA168" s="1">
        <v>9255090.0600000005</v>
      </c>
      <c r="DB168" s="1">
        <v>6888</v>
      </c>
      <c r="DC168" s="1">
        <v>6888</v>
      </c>
      <c r="DD168" s="1"/>
      <c r="DE168" s="1"/>
      <c r="DF168" s="1">
        <v>226479.19</v>
      </c>
      <c r="DG168" s="1">
        <v>224536.87</v>
      </c>
      <c r="DH168" s="1"/>
      <c r="DI168" s="1"/>
      <c r="DJ168" s="1">
        <v>934211.13</v>
      </c>
      <c r="DK168" s="1">
        <v>604008.97</v>
      </c>
      <c r="DL168" s="24"/>
      <c r="DM168" s="24"/>
      <c r="DN168" s="1"/>
      <c r="DO168" s="1"/>
      <c r="DP168" s="2">
        <v>1167578.32</v>
      </c>
      <c r="DQ168" s="1">
        <v>835433.84</v>
      </c>
      <c r="DR168" s="2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2">
        <v>454335.73</v>
      </c>
      <c r="EQ168" s="1">
        <v>8419656.2200000007</v>
      </c>
      <c r="ER168" s="1">
        <v>26335.73</v>
      </c>
      <c r="ES168" s="1">
        <v>21951.98</v>
      </c>
      <c r="ET168" s="1"/>
      <c r="EU168" s="1"/>
      <c r="EV168" s="1">
        <v>11395.16</v>
      </c>
      <c r="EW168" s="1">
        <v>17381.39</v>
      </c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>
        <v>14940.57</v>
      </c>
      <c r="FK168" s="1">
        <v>1251.28</v>
      </c>
      <c r="FL168" s="1"/>
      <c r="FM168" s="1"/>
      <c r="FN168" s="1"/>
      <c r="FO168" s="1"/>
      <c r="FP168" s="1"/>
      <c r="FQ168" s="1"/>
      <c r="FR168" s="1"/>
      <c r="FS168" s="1"/>
      <c r="FT168" s="1"/>
      <c r="FU168" s="1">
        <v>8131965.0499999998</v>
      </c>
      <c r="FV168" s="1">
        <v>428000</v>
      </c>
      <c r="FW168" s="1">
        <v>265739.19</v>
      </c>
      <c r="FX168" s="1"/>
      <c r="FY168" s="1"/>
      <c r="FZ168" s="1"/>
      <c r="GA168" s="1">
        <v>3319.31</v>
      </c>
      <c r="GB168" s="1">
        <v>454335.73</v>
      </c>
      <c r="GC168" s="1">
        <v>8419656.2200000007</v>
      </c>
      <c r="GD168" s="1">
        <v>1621914.05</v>
      </c>
      <c r="GE168" s="1">
        <v>9255090.0600000005</v>
      </c>
    </row>
    <row r="169" spans="1:187" s="3" customFormat="1" x14ac:dyDescent="0.25">
      <c r="A169" s="1">
        <v>20006</v>
      </c>
      <c r="B169" s="1">
        <v>0</v>
      </c>
      <c r="C169" s="3">
        <v>300264462</v>
      </c>
      <c r="D169" s="3" t="s">
        <v>165</v>
      </c>
      <c r="E169" s="4">
        <v>26</v>
      </c>
      <c r="F169" s="4">
        <v>4</v>
      </c>
      <c r="G169" s="4">
        <v>0</v>
      </c>
      <c r="H169" s="4">
        <v>12</v>
      </c>
      <c r="I169" s="1">
        <v>2018</v>
      </c>
      <c r="J169" s="1">
        <v>4</v>
      </c>
      <c r="K169" s="3" t="s">
        <v>0</v>
      </c>
      <c r="L169" s="1">
        <v>1</v>
      </c>
      <c r="M169" s="1">
        <v>30</v>
      </c>
      <c r="N169" s="5">
        <v>0</v>
      </c>
      <c r="O169" s="6">
        <v>43489.683298611111</v>
      </c>
      <c r="P169" s="1">
        <v>1062737.77</v>
      </c>
      <c r="Q169" s="1">
        <v>1293059.1200000001</v>
      </c>
      <c r="R169" s="1">
        <v>766700.98</v>
      </c>
      <c r="S169" s="1">
        <v>881326.03</v>
      </c>
      <c r="T169" s="1">
        <v>296036.78999999998</v>
      </c>
      <c r="U169" s="1">
        <v>411733.09</v>
      </c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2">
        <v>296036.78999999998</v>
      </c>
      <c r="AW169" s="1">
        <v>411733.09</v>
      </c>
      <c r="AX169" s="1">
        <v>297.58</v>
      </c>
      <c r="AY169" s="1">
        <v>137316.91</v>
      </c>
      <c r="AZ169" s="1">
        <v>297.58</v>
      </c>
      <c r="BA169" s="1">
        <v>137316.91</v>
      </c>
      <c r="BB169" s="1"/>
      <c r="BC169" s="1"/>
      <c r="BD169" s="1"/>
      <c r="BE169" s="1"/>
      <c r="BF169" s="1"/>
      <c r="BG169" s="1"/>
      <c r="BH169" s="1">
        <v>999.4</v>
      </c>
      <c r="BI169" s="1">
        <v>72.209999999999994</v>
      </c>
      <c r="BJ169" s="1"/>
      <c r="BK169" s="1"/>
      <c r="BL169" s="1">
        <v>235112.44</v>
      </c>
      <c r="BM169" s="1">
        <v>934474.04</v>
      </c>
      <c r="BN169" s="1"/>
      <c r="BO169" s="1"/>
      <c r="BP169" s="1">
        <v>213758.27</v>
      </c>
      <c r="BQ169" s="1"/>
      <c r="BR169" s="1"/>
      <c r="BS169" s="1"/>
      <c r="BT169" s="1"/>
      <c r="BU169" s="1"/>
      <c r="BV169" s="1"/>
      <c r="BW169" s="1">
        <v>0.1</v>
      </c>
      <c r="BX169" s="1">
        <v>19537.39</v>
      </c>
      <c r="BY169" s="1">
        <v>925250.84</v>
      </c>
      <c r="BZ169" s="1">
        <v>552.1</v>
      </c>
      <c r="CA169" s="1">
        <v>552.1</v>
      </c>
      <c r="CB169" s="1">
        <v>300</v>
      </c>
      <c r="CC169" s="1">
        <v>300</v>
      </c>
      <c r="CD169" s="1"/>
      <c r="CE169" s="1"/>
      <c r="CF169" s="1">
        <v>800</v>
      </c>
      <c r="CG169" s="1">
        <v>3600</v>
      </c>
      <c r="CH169" s="1">
        <v>164.68</v>
      </c>
      <c r="CI169" s="1">
        <v>4771</v>
      </c>
      <c r="CJ169" s="1">
        <v>45335.25</v>
      </c>
      <c r="CK169" s="1">
        <v>49117.8</v>
      </c>
      <c r="CL169" s="1"/>
      <c r="CM169" s="1"/>
      <c r="CN169" s="1">
        <v>45335.25</v>
      </c>
      <c r="CO169" s="1">
        <v>49117.8</v>
      </c>
      <c r="CP169" s="1"/>
      <c r="CQ169" s="1"/>
      <c r="CR169" s="1"/>
      <c r="CS169" s="1"/>
      <c r="CT169" s="1">
        <v>102200</v>
      </c>
      <c r="CU169" s="1">
        <v>89200</v>
      </c>
      <c r="CV169" s="1"/>
      <c r="CW169" s="1"/>
      <c r="CX169" s="2">
        <v>383944.67</v>
      </c>
      <c r="CY169" s="1">
        <v>1210180.96</v>
      </c>
      <c r="CZ169" s="1">
        <v>679981.46</v>
      </c>
      <c r="DA169" s="1">
        <v>1621914.05</v>
      </c>
      <c r="DB169" s="1">
        <v>6888</v>
      </c>
      <c r="DC169" s="1">
        <v>6888</v>
      </c>
      <c r="DD169" s="1"/>
      <c r="DE169" s="1"/>
      <c r="DF169" s="1">
        <v>213989.21</v>
      </c>
      <c r="DG169" s="1">
        <v>226479.19</v>
      </c>
      <c r="DH169" s="1"/>
      <c r="DI169" s="1"/>
      <c r="DJ169" s="1">
        <v>442798.04</v>
      </c>
      <c r="DK169" s="1">
        <v>934211.13</v>
      </c>
      <c r="DL169" s="24"/>
      <c r="DM169" s="24"/>
      <c r="DN169" s="1"/>
      <c r="DO169" s="1"/>
      <c r="DP169" s="2">
        <v>663675.25</v>
      </c>
      <c r="DQ169" s="1">
        <v>1167578.32</v>
      </c>
      <c r="DR169" s="2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2">
        <v>16306.21</v>
      </c>
      <c r="EQ169" s="1">
        <v>454335.73</v>
      </c>
      <c r="ER169" s="1">
        <v>16306.21</v>
      </c>
      <c r="ES169" s="1">
        <v>26335.73</v>
      </c>
      <c r="ET169" s="1"/>
      <c r="EU169" s="1"/>
      <c r="EV169" s="1">
        <v>5257.9</v>
      </c>
      <c r="EW169" s="1">
        <v>11395.16</v>
      </c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>
        <v>8878.89</v>
      </c>
      <c r="FK169" s="1">
        <v>14940.57</v>
      </c>
      <c r="FL169" s="1">
        <v>83.42</v>
      </c>
      <c r="FM169" s="1"/>
      <c r="FN169" s="1"/>
      <c r="FO169" s="1"/>
      <c r="FP169" s="1"/>
      <c r="FQ169" s="1"/>
      <c r="FR169" s="1">
        <v>2086</v>
      </c>
      <c r="FS169" s="1"/>
      <c r="FT169" s="1"/>
      <c r="FU169" s="1"/>
      <c r="FV169" s="1"/>
      <c r="FW169" s="1">
        <v>428000</v>
      </c>
      <c r="FX169" s="1"/>
      <c r="FY169" s="1"/>
      <c r="FZ169" s="1"/>
      <c r="GA169" s="1"/>
      <c r="GB169" s="1">
        <v>16306.21</v>
      </c>
      <c r="GC169" s="1">
        <v>454335.73</v>
      </c>
      <c r="GD169" s="1">
        <v>679981.46</v>
      </c>
      <c r="GE169" s="1">
        <v>1621914.05</v>
      </c>
    </row>
  </sheetData>
  <autoFilter ref="A1:GF1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169"/>
  <sheetViews>
    <sheetView zoomScaleNormal="100" workbookViewId="0">
      <selection activeCell="A169" sqref="A169:XFD169"/>
    </sheetView>
  </sheetViews>
  <sheetFormatPr defaultRowHeight="15" x14ac:dyDescent="0.25"/>
  <cols>
    <col min="3" max="3" width="18.28515625" customWidth="1"/>
    <col min="4" max="4" width="40.42578125" customWidth="1"/>
    <col min="16" max="16" width="11.7109375" customWidth="1"/>
    <col min="17" max="17" width="10" bestFit="1" customWidth="1"/>
    <col min="26" max="26" width="10" bestFit="1" customWidth="1"/>
    <col min="47" max="47" width="18.28515625" customWidth="1"/>
    <col min="48" max="48" width="15.42578125" customWidth="1"/>
  </cols>
  <sheetData>
    <row r="1" spans="1:48" s="11" customFormat="1" ht="12" x14ac:dyDescent="0.2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O1" s="11" t="s">
        <v>14</v>
      </c>
      <c r="P1" s="11" t="s">
        <v>15</v>
      </c>
      <c r="Q1" s="11" t="s">
        <v>18</v>
      </c>
      <c r="R1" s="11" t="s">
        <v>21</v>
      </c>
      <c r="S1" s="11" t="s">
        <v>101</v>
      </c>
      <c r="T1" s="11" t="s">
        <v>22</v>
      </c>
      <c r="U1" s="11" t="s">
        <v>23</v>
      </c>
      <c r="V1" s="11" t="s">
        <v>24</v>
      </c>
      <c r="W1" s="11" t="s">
        <v>25</v>
      </c>
      <c r="X1" s="11" t="s">
        <v>26</v>
      </c>
      <c r="Y1" s="11" t="s">
        <v>27</v>
      </c>
      <c r="Z1" s="11" t="s">
        <v>28</v>
      </c>
      <c r="AA1" s="11" t="s">
        <v>102</v>
      </c>
      <c r="AB1" s="11" t="s">
        <v>29</v>
      </c>
      <c r="AC1" s="11" t="s">
        <v>30</v>
      </c>
      <c r="AD1" s="11" t="s">
        <v>31</v>
      </c>
      <c r="AE1" s="11" t="s">
        <v>32</v>
      </c>
      <c r="AF1" s="11" t="s">
        <v>33</v>
      </c>
      <c r="AG1" s="11" t="s">
        <v>34</v>
      </c>
      <c r="AH1" s="11" t="s">
        <v>35</v>
      </c>
      <c r="AI1" s="11" t="s">
        <v>36</v>
      </c>
      <c r="AJ1" s="11" t="s">
        <v>37</v>
      </c>
      <c r="AK1" s="11" t="s">
        <v>38</v>
      </c>
      <c r="AL1" s="11" t="s">
        <v>39</v>
      </c>
      <c r="AM1" s="11" t="s">
        <v>41</v>
      </c>
      <c r="AN1" s="11" t="s">
        <v>103</v>
      </c>
      <c r="AO1" s="11" t="s">
        <v>42</v>
      </c>
      <c r="AP1" s="11" t="s">
        <v>42</v>
      </c>
      <c r="AQ1" s="11" t="s">
        <v>43</v>
      </c>
      <c r="AR1" s="11" t="s">
        <v>104</v>
      </c>
      <c r="AS1" s="11" t="s">
        <v>44</v>
      </c>
      <c r="AT1" s="11" t="s">
        <v>45</v>
      </c>
      <c r="AU1" s="11" t="s">
        <v>46</v>
      </c>
      <c r="AV1" s="11" t="s">
        <v>105</v>
      </c>
    </row>
    <row r="2" spans="1:48" s="3" customFormat="1" ht="12" x14ac:dyDescent="0.2">
      <c r="A2" s="1">
        <v>20025</v>
      </c>
      <c r="B2" s="1">
        <v>0</v>
      </c>
      <c r="C2" s="1">
        <v>200240131</v>
      </c>
      <c r="D2" s="1" t="s">
        <v>112</v>
      </c>
      <c r="E2" s="1">
        <v>3</v>
      </c>
      <c r="F2" s="1">
        <v>1</v>
      </c>
      <c r="G2" s="1">
        <v>0</v>
      </c>
      <c r="H2" s="1">
        <v>1</v>
      </c>
      <c r="I2" s="1">
        <v>2021</v>
      </c>
      <c r="J2" s="1">
        <v>4</v>
      </c>
      <c r="K2" s="1" t="s">
        <v>0</v>
      </c>
      <c r="L2" s="1">
        <v>2</v>
      </c>
      <c r="M2" s="1">
        <v>30</v>
      </c>
      <c r="N2" s="1">
        <v>0</v>
      </c>
      <c r="O2" s="1">
        <v>44660.811365740738</v>
      </c>
      <c r="P2" s="1">
        <v>101080227</v>
      </c>
      <c r="Q2" s="1">
        <v>75297418</v>
      </c>
      <c r="R2" s="1">
        <v>25782809</v>
      </c>
      <c r="S2" s="1">
        <v>0</v>
      </c>
      <c r="T2" s="1">
        <v>5219808</v>
      </c>
      <c r="U2" s="1">
        <v>295680</v>
      </c>
      <c r="V2" s="1">
        <v>1805401</v>
      </c>
      <c r="W2" s="1">
        <v>3118727</v>
      </c>
      <c r="X2" s="1"/>
      <c r="Y2" s="1">
        <v>35610</v>
      </c>
      <c r="Z2" s="1">
        <v>20598611</v>
      </c>
      <c r="AA2" s="1">
        <v>0</v>
      </c>
      <c r="AB2" s="1">
        <v>247477</v>
      </c>
      <c r="AC2" s="1"/>
      <c r="AD2" s="1"/>
      <c r="AE2" s="1"/>
      <c r="AF2" s="1">
        <v>247477</v>
      </c>
      <c r="AG2" s="1"/>
      <c r="AH2" s="1">
        <v>20783912</v>
      </c>
      <c r="AI2" s="1">
        <v>2126491</v>
      </c>
      <c r="AJ2" s="1"/>
      <c r="AK2" s="1">
        <v>18657421</v>
      </c>
      <c r="AL2" s="1"/>
      <c r="AM2" s="1">
        <v>62176</v>
      </c>
      <c r="AN2" s="1">
        <v>0</v>
      </c>
      <c r="AO2" s="1"/>
      <c r="AP2" s="1"/>
      <c r="AQ2" s="1">
        <v>62176</v>
      </c>
      <c r="AR2" s="1">
        <v>0</v>
      </c>
      <c r="AS2" s="1">
        <v>56615</v>
      </c>
      <c r="AT2" s="1"/>
      <c r="AU2" s="1">
        <v>5561</v>
      </c>
      <c r="AV2" s="1">
        <v>0</v>
      </c>
    </row>
    <row r="3" spans="1:48" s="3" customFormat="1" ht="12" x14ac:dyDescent="0.2">
      <c r="A3" s="1">
        <v>20025</v>
      </c>
      <c r="B3" s="1">
        <v>0</v>
      </c>
      <c r="C3" s="1">
        <v>200240131</v>
      </c>
      <c r="D3" s="1" t="s">
        <v>112</v>
      </c>
      <c r="E3" s="1">
        <v>3</v>
      </c>
      <c r="F3" s="1">
        <v>1</v>
      </c>
      <c r="G3" s="1">
        <v>0</v>
      </c>
      <c r="H3" s="1">
        <v>1</v>
      </c>
      <c r="I3" s="1">
        <v>2020</v>
      </c>
      <c r="J3" s="1">
        <v>4</v>
      </c>
      <c r="K3" s="1" t="s">
        <v>0</v>
      </c>
      <c r="L3" s="1">
        <v>1</v>
      </c>
      <c r="M3" s="1">
        <v>30</v>
      </c>
      <c r="N3" s="1">
        <v>0</v>
      </c>
      <c r="O3" s="1">
        <v>44240.647696759261</v>
      </c>
      <c r="P3" s="1">
        <v>76293638</v>
      </c>
      <c r="Q3" s="1">
        <v>72244429</v>
      </c>
      <c r="R3" s="1">
        <v>4049209</v>
      </c>
      <c r="S3" s="1">
        <v>0</v>
      </c>
      <c r="T3" s="1">
        <v>8693549</v>
      </c>
      <c r="U3" s="1">
        <v>708304</v>
      </c>
      <c r="V3" s="1">
        <v>2009000</v>
      </c>
      <c r="W3" s="1">
        <v>5976245</v>
      </c>
      <c r="X3" s="1"/>
      <c r="Y3" s="1">
        <v>311350</v>
      </c>
      <c r="Z3" s="1">
        <v>0</v>
      </c>
      <c r="AA3" s="1">
        <v>4332990</v>
      </c>
      <c r="AB3" s="1">
        <v>296990</v>
      </c>
      <c r="AC3" s="1">
        <v>96282</v>
      </c>
      <c r="AD3" s="1">
        <v>570</v>
      </c>
      <c r="AE3" s="1"/>
      <c r="AF3" s="1">
        <v>142300</v>
      </c>
      <c r="AG3" s="1">
        <v>57838</v>
      </c>
      <c r="AH3" s="1">
        <v>8417753</v>
      </c>
      <c r="AI3" s="1">
        <v>3798598</v>
      </c>
      <c r="AJ3" s="1"/>
      <c r="AK3" s="1">
        <v>4619155</v>
      </c>
      <c r="AL3" s="1"/>
      <c r="AM3" s="1">
        <v>0</v>
      </c>
      <c r="AN3" s="1">
        <v>12453753</v>
      </c>
      <c r="AO3" s="1"/>
      <c r="AP3" s="1"/>
      <c r="AQ3" s="1">
        <v>0</v>
      </c>
      <c r="AR3" s="1">
        <v>12453753</v>
      </c>
      <c r="AS3" s="1"/>
      <c r="AT3" s="1"/>
      <c r="AU3" s="1">
        <v>-12453753</v>
      </c>
      <c r="AV3" s="1">
        <v>12453753</v>
      </c>
    </row>
    <row r="4" spans="1:48" s="3" customFormat="1" ht="12" x14ac:dyDescent="0.2">
      <c r="A4" s="1">
        <v>20025</v>
      </c>
      <c r="B4" s="1">
        <v>0</v>
      </c>
      <c r="C4" s="1">
        <v>200240131</v>
      </c>
      <c r="D4" s="1" t="s">
        <v>112</v>
      </c>
      <c r="E4" s="1">
        <v>3</v>
      </c>
      <c r="F4" s="1">
        <v>1</v>
      </c>
      <c r="G4" s="1">
        <v>0</v>
      </c>
      <c r="H4" s="1">
        <v>1</v>
      </c>
      <c r="I4" s="1">
        <v>2019</v>
      </c>
      <c r="J4" s="1">
        <v>4</v>
      </c>
      <c r="K4" s="1" t="s">
        <v>0</v>
      </c>
      <c r="L4" s="1">
        <v>1</v>
      </c>
      <c r="M4" s="1">
        <v>30</v>
      </c>
      <c r="N4" s="1">
        <v>0</v>
      </c>
      <c r="O4" s="1">
        <v>43875.63517361111</v>
      </c>
      <c r="P4" s="1">
        <v>93799529</v>
      </c>
      <c r="Q4" s="1">
        <v>75800349</v>
      </c>
      <c r="R4" s="1">
        <v>17999180</v>
      </c>
      <c r="S4" s="1">
        <v>0</v>
      </c>
      <c r="T4" s="1">
        <v>10882200</v>
      </c>
      <c r="U4" s="1">
        <v>955488</v>
      </c>
      <c r="V4" s="1">
        <v>2867001</v>
      </c>
      <c r="W4" s="1">
        <v>7059711</v>
      </c>
      <c r="X4" s="1"/>
      <c r="Y4" s="1">
        <v>272504</v>
      </c>
      <c r="Z4" s="1">
        <v>7389484</v>
      </c>
      <c r="AA4" s="1">
        <v>0</v>
      </c>
      <c r="AB4" s="1">
        <v>392717</v>
      </c>
      <c r="AC4" s="1"/>
      <c r="AD4" s="1">
        <v>84133</v>
      </c>
      <c r="AE4" s="1"/>
      <c r="AF4" s="1">
        <v>141023</v>
      </c>
      <c r="AG4" s="1">
        <v>167561</v>
      </c>
      <c r="AH4" s="1">
        <v>4585699</v>
      </c>
      <c r="AI4" s="1">
        <v>3376109</v>
      </c>
      <c r="AJ4" s="1">
        <v>0</v>
      </c>
      <c r="AK4" s="1">
        <v>1209590</v>
      </c>
      <c r="AL4" s="1"/>
      <c r="AM4" s="1">
        <v>3196502</v>
      </c>
      <c r="AN4" s="1">
        <v>0</v>
      </c>
      <c r="AO4" s="1"/>
      <c r="AP4" s="1"/>
      <c r="AQ4" s="1">
        <v>3196502</v>
      </c>
      <c r="AR4" s="1">
        <v>0</v>
      </c>
      <c r="AS4" s="1">
        <v>854141</v>
      </c>
      <c r="AT4" s="1"/>
      <c r="AU4" s="1">
        <v>2342361</v>
      </c>
      <c r="AV4" s="1">
        <v>0</v>
      </c>
    </row>
    <row r="5" spans="1:48" s="3" customFormat="1" ht="12" x14ac:dyDescent="0.2">
      <c r="A5" s="1">
        <v>20025</v>
      </c>
      <c r="B5" s="1">
        <v>0</v>
      </c>
      <c r="C5" s="7">
        <v>200240131</v>
      </c>
      <c r="D5" s="1" t="s">
        <v>112</v>
      </c>
      <c r="E5" s="1">
        <v>3</v>
      </c>
      <c r="F5" s="1">
        <v>1</v>
      </c>
      <c r="G5" s="1">
        <v>0</v>
      </c>
      <c r="H5" s="1">
        <v>1</v>
      </c>
      <c r="I5" s="1">
        <v>2018</v>
      </c>
      <c r="J5" s="1">
        <v>4</v>
      </c>
      <c r="K5" s="1" t="s">
        <v>0</v>
      </c>
      <c r="L5" s="1">
        <v>1</v>
      </c>
      <c r="M5" s="1">
        <v>30</v>
      </c>
      <c r="N5" s="1">
        <v>0</v>
      </c>
      <c r="O5" s="1">
        <v>43508.603067129632</v>
      </c>
      <c r="P5" s="1">
        <v>66647988</v>
      </c>
      <c r="Q5" s="1">
        <v>46636809</v>
      </c>
      <c r="R5" s="2">
        <v>20011179</v>
      </c>
      <c r="S5" s="2">
        <v>0</v>
      </c>
      <c r="T5" s="1">
        <v>15802849</v>
      </c>
      <c r="U5" s="1">
        <v>1076413</v>
      </c>
      <c r="V5" s="1">
        <v>2477643</v>
      </c>
      <c r="W5" s="1">
        <v>12248793</v>
      </c>
      <c r="X5" s="1"/>
      <c r="Y5" s="1">
        <v>66481</v>
      </c>
      <c r="Z5" s="1">
        <v>4274811</v>
      </c>
      <c r="AA5" s="1">
        <v>0</v>
      </c>
      <c r="AB5" s="1">
        <v>403019</v>
      </c>
      <c r="AC5" s="1">
        <v>76816</v>
      </c>
      <c r="AD5" s="1">
        <v>30130</v>
      </c>
      <c r="AE5" s="1"/>
      <c r="AF5" s="1">
        <v>75090</v>
      </c>
      <c r="AG5" s="1">
        <v>220983</v>
      </c>
      <c r="AH5" s="1">
        <v>1663297</v>
      </c>
      <c r="AI5" s="1">
        <v>1663297</v>
      </c>
      <c r="AJ5" s="1"/>
      <c r="AK5" s="1"/>
      <c r="AL5" s="1"/>
      <c r="AM5" s="1">
        <v>3014533</v>
      </c>
      <c r="AN5" s="1">
        <v>0</v>
      </c>
      <c r="AO5" s="1"/>
      <c r="AP5" s="1"/>
      <c r="AQ5" s="1">
        <v>3014533</v>
      </c>
      <c r="AR5" s="1">
        <v>0</v>
      </c>
      <c r="AS5" s="1">
        <v>951071</v>
      </c>
      <c r="AT5" s="1"/>
      <c r="AU5" s="1">
        <v>2063462</v>
      </c>
      <c r="AV5" s="1">
        <v>0</v>
      </c>
    </row>
    <row r="6" spans="1:48" s="3" customFormat="1" ht="12" x14ac:dyDescent="0.2">
      <c r="A6" s="1">
        <v>20025</v>
      </c>
      <c r="B6" s="1">
        <v>0</v>
      </c>
      <c r="C6" s="1">
        <v>200244553</v>
      </c>
      <c r="D6" s="1" t="s">
        <v>113</v>
      </c>
      <c r="E6" s="1">
        <v>3</v>
      </c>
      <c r="F6" s="1">
        <v>15</v>
      </c>
      <c r="G6" s="1">
        <v>0</v>
      </c>
      <c r="H6" s="1">
        <v>1</v>
      </c>
      <c r="I6" s="1">
        <v>2021</v>
      </c>
      <c r="J6" s="1">
        <v>4</v>
      </c>
      <c r="K6" s="1" t="s">
        <v>0</v>
      </c>
      <c r="L6" s="1">
        <v>1</v>
      </c>
      <c r="M6" s="1">
        <v>30</v>
      </c>
      <c r="N6" s="1">
        <v>0</v>
      </c>
      <c r="O6" s="1">
        <v>44606.90047453704</v>
      </c>
      <c r="P6" s="1">
        <v>90405974</v>
      </c>
      <c r="Q6" s="1">
        <v>83754323</v>
      </c>
      <c r="R6" s="1">
        <v>6651651</v>
      </c>
      <c r="S6" s="1">
        <v>0</v>
      </c>
      <c r="T6" s="1">
        <v>5642973</v>
      </c>
      <c r="U6" s="1">
        <v>1041388</v>
      </c>
      <c r="V6" s="1">
        <v>1126192</v>
      </c>
      <c r="W6" s="1">
        <v>3475393</v>
      </c>
      <c r="X6" s="1"/>
      <c r="Y6" s="1">
        <v>339565</v>
      </c>
      <c r="Z6" s="1">
        <v>1348243</v>
      </c>
      <c r="AA6" s="1">
        <v>0</v>
      </c>
      <c r="AB6" s="1">
        <v>857</v>
      </c>
      <c r="AC6" s="1"/>
      <c r="AD6" s="1"/>
      <c r="AE6" s="1"/>
      <c r="AF6" s="1">
        <v>857</v>
      </c>
      <c r="AG6" s="1"/>
      <c r="AH6" s="1">
        <v>4178771</v>
      </c>
      <c r="AI6" s="1">
        <v>4027618</v>
      </c>
      <c r="AJ6" s="1"/>
      <c r="AK6" s="1">
        <v>151153</v>
      </c>
      <c r="AL6" s="1"/>
      <c r="AM6" s="1">
        <v>0</v>
      </c>
      <c r="AN6" s="1">
        <v>2829671</v>
      </c>
      <c r="AO6" s="1"/>
      <c r="AP6" s="1"/>
      <c r="AQ6" s="1">
        <v>0</v>
      </c>
      <c r="AR6" s="1">
        <v>2829671</v>
      </c>
      <c r="AS6" s="1"/>
      <c r="AT6" s="1"/>
      <c r="AU6" s="1">
        <v>-2829671</v>
      </c>
      <c r="AV6" s="1">
        <v>2829671</v>
      </c>
    </row>
    <row r="7" spans="1:48" s="3" customFormat="1" ht="12" x14ac:dyDescent="0.2">
      <c r="A7" s="1">
        <v>20025</v>
      </c>
      <c r="B7" s="1">
        <v>0</v>
      </c>
      <c r="C7" s="1">
        <v>200244553</v>
      </c>
      <c r="D7" s="1" t="s">
        <v>113</v>
      </c>
      <c r="E7" s="1">
        <v>3</v>
      </c>
      <c r="F7" s="1">
        <v>15</v>
      </c>
      <c r="G7" s="1">
        <v>0</v>
      </c>
      <c r="H7" s="1">
        <v>1</v>
      </c>
      <c r="I7" s="1">
        <v>2020</v>
      </c>
      <c r="J7" s="1">
        <v>4</v>
      </c>
      <c r="K7" s="1" t="s">
        <v>0</v>
      </c>
      <c r="L7" s="1">
        <v>2</v>
      </c>
      <c r="M7" s="1">
        <v>30</v>
      </c>
      <c r="N7" s="1">
        <v>0</v>
      </c>
      <c r="O7" s="1">
        <v>44378.715532407405</v>
      </c>
      <c r="P7" s="1">
        <v>77239658</v>
      </c>
      <c r="Q7" s="1">
        <v>71659999</v>
      </c>
      <c r="R7" s="1">
        <v>5579659</v>
      </c>
      <c r="S7" s="1">
        <v>0</v>
      </c>
      <c r="T7" s="1">
        <v>6129208</v>
      </c>
      <c r="U7" s="1">
        <v>805103</v>
      </c>
      <c r="V7" s="1">
        <v>1231877</v>
      </c>
      <c r="W7" s="1">
        <v>4092228</v>
      </c>
      <c r="X7" s="1"/>
      <c r="Y7" s="1">
        <v>529254</v>
      </c>
      <c r="Z7" s="1">
        <v>0</v>
      </c>
      <c r="AA7" s="1">
        <v>20295</v>
      </c>
      <c r="AB7" s="1">
        <v>328897</v>
      </c>
      <c r="AC7" s="1">
        <v>232300</v>
      </c>
      <c r="AD7" s="1">
        <v>227</v>
      </c>
      <c r="AE7" s="1"/>
      <c r="AF7" s="1">
        <v>96370</v>
      </c>
      <c r="AG7" s="1"/>
      <c r="AH7" s="1">
        <v>4063813</v>
      </c>
      <c r="AI7" s="1">
        <v>3833249</v>
      </c>
      <c r="AJ7" s="1"/>
      <c r="AK7" s="1">
        <v>230564</v>
      </c>
      <c r="AL7" s="1"/>
      <c r="AM7" s="1">
        <v>0</v>
      </c>
      <c r="AN7" s="1">
        <v>3755211</v>
      </c>
      <c r="AO7" s="1"/>
      <c r="AP7" s="1"/>
      <c r="AQ7" s="1">
        <v>0</v>
      </c>
      <c r="AR7" s="1">
        <v>3755211</v>
      </c>
      <c r="AS7" s="1"/>
      <c r="AT7" s="1"/>
      <c r="AU7" s="1">
        <v>-3755211</v>
      </c>
      <c r="AV7" s="1">
        <v>3755211</v>
      </c>
    </row>
    <row r="8" spans="1:48" s="3" customFormat="1" ht="12" x14ac:dyDescent="0.2">
      <c r="A8" s="1">
        <v>20025</v>
      </c>
      <c r="B8" s="1">
        <v>0</v>
      </c>
      <c r="C8" s="1">
        <v>200244553</v>
      </c>
      <c r="D8" s="1" t="s">
        <v>113</v>
      </c>
      <c r="E8" s="1">
        <v>3</v>
      </c>
      <c r="F8" s="1">
        <v>15</v>
      </c>
      <c r="G8" s="1">
        <v>0</v>
      </c>
      <c r="H8" s="1">
        <v>1</v>
      </c>
      <c r="I8" s="1">
        <v>2019</v>
      </c>
      <c r="J8" s="1">
        <v>4</v>
      </c>
      <c r="K8" s="1" t="s">
        <v>0</v>
      </c>
      <c r="L8" s="1">
        <v>2</v>
      </c>
      <c r="M8" s="1">
        <v>30</v>
      </c>
      <c r="N8" s="1">
        <v>0</v>
      </c>
      <c r="O8" s="1">
        <v>43885.464317129627</v>
      </c>
      <c r="P8" s="1">
        <v>103017104</v>
      </c>
      <c r="Q8" s="1">
        <v>87247086</v>
      </c>
      <c r="R8" s="1">
        <v>15770018</v>
      </c>
      <c r="S8" s="1">
        <v>0</v>
      </c>
      <c r="T8" s="1">
        <v>11319467</v>
      </c>
      <c r="U8" s="1">
        <v>1318861</v>
      </c>
      <c r="V8" s="1">
        <v>2149890</v>
      </c>
      <c r="W8" s="1">
        <v>7850716</v>
      </c>
      <c r="X8" s="1"/>
      <c r="Y8" s="1">
        <v>1587803</v>
      </c>
      <c r="Z8" s="1">
        <v>6038354</v>
      </c>
      <c r="AA8" s="1">
        <v>0</v>
      </c>
      <c r="AB8" s="1">
        <v>170476</v>
      </c>
      <c r="AC8" s="1"/>
      <c r="AD8" s="1">
        <v>87587</v>
      </c>
      <c r="AE8" s="1"/>
      <c r="AF8" s="1">
        <v>82889</v>
      </c>
      <c r="AG8" s="1"/>
      <c r="AH8" s="1">
        <v>3329474</v>
      </c>
      <c r="AI8" s="1">
        <v>3013105</v>
      </c>
      <c r="AJ8" s="1"/>
      <c r="AK8" s="1">
        <v>316369</v>
      </c>
      <c r="AL8" s="1"/>
      <c r="AM8" s="1">
        <v>2879356</v>
      </c>
      <c r="AN8" s="1">
        <v>0</v>
      </c>
      <c r="AO8" s="1"/>
      <c r="AP8" s="1"/>
      <c r="AQ8" s="1">
        <v>2879356</v>
      </c>
      <c r="AR8" s="1">
        <v>0</v>
      </c>
      <c r="AS8" s="1">
        <v>551210</v>
      </c>
      <c r="AT8" s="1"/>
      <c r="AU8" s="1">
        <v>2328146</v>
      </c>
      <c r="AV8" s="1">
        <v>0</v>
      </c>
    </row>
    <row r="9" spans="1:48" s="3" customFormat="1" ht="12" x14ac:dyDescent="0.2">
      <c r="A9" s="1">
        <v>20025</v>
      </c>
      <c r="B9" s="1">
        <v>0</v>
      </c>
      <c r="C9" s="7">
        <v>200244553</v>
      </c>
      <c r="D9" s="1" t="s">
        <v>113</v>
      </c>
      <c r="E9" s="1">
        <v>3</v>
      </c>
      <c r="F9" s="1">
        <v>15</v>
      </c>
      <c r="G9" s="1">
        <v>0</v>
      </c>
      <c r="H9" s="1">
        <v>1</v>
      </c>
      <c r="I9" s="1">
        <v>2018</v>
      </c>
      <c r="J9" s="1">
        <v>4</v>
      </c>
      <c r="K9" s="1" t="s">
        <v>0</v>
      </c>
      <c r="L9" s="1">
        <v>1</v>
      </c>
      <c r="M9" s="1">
        <v>30</v>
      </c>
      <c r="N9" s="1">
        <v>0</v>
      </c>
      <c r="O9" s="1">
        <v>43507.653784722221</v>
      </c>
      <c r="P9" s="1">
        <v>63034963</v>
      </c>
      <c r="Q9" s="1">
        <v>44074251</v>
      </c>
      <c r="R9" s="2">
        <v>18960712</v>
      </c>
      <c r="S9" s="2">
        <v>0</v>
      </c>
      <c r="T9" s="1">
        <v>14757134</v>
      </c>
      <c r="U9" s="1">
        <v>895395</v>
      </c>
      <c r="V9" s="1">
        <v>2182399</v>
      </c>
      <c r="W9" s="1">
        <v>11679340</v>
      </c>
      <c r="X9" s="1"/>
      <c r="Y9" s="1">
        <v>385711</v>
      </c>
      <c r="Z9" s="1">
        <v>4589289</v>
      </c>
      <c r="AA9" s="1">
        <v>0</v>
      </c>
      <c r="AB9" s="1">
        <v>72523</v>
      </c>
      <c r="AC9" s="1"/>
      <c r="AD9" s="1"/>
      <c r="AE9" s="1"/>
      <c r="AF9" s="1">
        <v>72523</v>
      </c>
      <c r="AG9" s="1"/>
      <c r="AH9" s="1">
        <v>1405585</v>
      </c>
      <c r="AI9" s="1">
        <v>712256</v>
      </c>
      <c r="AJ9" s="1"/>
      <c r="AK9" s="1">
        <v>693329</v>
      </c>
      <c r="AL9" s="1"/>
      <c r="AM9" s="1">
        <v>3256227</v>
      </c>
      <c r="AN9" s="1">
        <v>0</v>
      </c>
      <c r="AO9" s="1"/>
      <c r="AP9" s="1"/>
      <c r="AQ9" s="1">
        <v>3256227</v>
      </c>
      <c r="AR9" s="1">
        <v>0</v>
      </c>
      <c r="AS9" s="1">
        <v>823989</v>
      </c>
      <c r="AT9" s="1"/>
      <c r="AU9" s="1">
        <v>2432238</v>
      </c>
      <c r="AV9" s="1">
        <v>0</v>
      </c>
    </row>
    <row r="10" spans="1:48" s="3" customFormat="1" ht="12" x14ac:dyDescent="0.2">
      <c r="A10" s="1">
        <v>20025</v>
      </c>
      <c r="B10" s="1">
        <v>0</v>
      </c>
      <c r="C10" s="1">
        <v>200323067</v>
      </c>
      <c r="D10" s="1" t="s">
        <v>114</v>
      </c>
      <c r="E10" s="1">
        <v>24</v>
      </c>
      <c r="F10" s="1">
        <v>10</v>
      </c>
      <c r="G10" s="1">
        <v>2</v>
      </c>
      <c r="H10" s="1">
        <v>1</v>
      </c>
      <c r="I10" s="1">
        <v>2021</v>
      </c>
      <c r="J10" s="1">
        <v>4</v>
      </c>
      <c r="K10" s="1" t="s">
        <v>0</v>
      </c>
      <c r="L10" s="1">
        <v>1</v>
      </c>
      <c r="M10" s="1">
        <v>30</v>
      </c>
      <c r="N10" s="1">
        <v>0</v>
      </c>
      <c r="O10" s="1">
        <v>44621.650347222225</v>
      </c>
      <c r="P10" s="1">
        <v>33745424.700000003</v>
      </c>
      <c r="Q10" s="1">
        <v>32141406.800000001</v>
      </c>
      <c r="R10" s="1">
        <v>1604017.9</v>
      </c>
      <c r="S10" s="1">
        <v>0</v>
      </c>
      <c r="T10" s="1">
        <v>3491507.8</v>
      </c>
      <c r="U10" s="1">
        <v>361174.5</v>
      </c>
      <c r="V10" s="1">
        <v>1057227.8</v>
      </c>
      <c r="W10" s="1">
        <v>2073105.5</v>
      </c>
      <c r="X10" s="1"/>
      <c r="Y10" s="1">
        <v>661899.1</v>
      </c>
      <c r="Z10" s="1">
        <v>0</v>
      </c>
      <c r="AA10" s="1">
        <v>1225590.8</v>
      </c>
      <c r="AB10" s="1"/>
      <c r="AC10" s="1"/>
      <c r="AD10" s="1"/>
      <c r="AE10" s="1"/>
      <c r="AF10" s="1"/>
      <c r="AG10" s="1"/>
      <c r="AH10" s="1">
        <v>5846944.7000000002</v>
      </c>
      <c r="AI10" s="1">
        <v>5846944.7000000002</v>
      </c>
      <c r="AJ10" s="1"/>
      <c r="AK10" s="1"/>
      <c r="AL10" s="1"/>
      <c r="AM10" s="1">
        <v>0</v>
      </c>
      <c r="AN10" s="1">
        <v>7072535.5</v>
      </c>
      <c r="AO10" s="1"/>
      <c r="AP10" s="1"/>
      <c r="AQ10" s="1">
        <v>0</v>
      </c>
      <c r="AR10" s="1">
        <v>7072535.5</v>
      </c>
      <c r="AS10" s="1"/>
      <c r="AT10" s="1"/>
      <c r="AU10" s="1">
        <v>-7072535.5</v>
      </c>
      <c r="AV10" s="1">
        <v>7072535.5</v>
      </c>
    </row>
    <row r="11" spans="1:48" s="3" customFormat="1" ht="12" x14ac:dyDescent="0.2">
      <c r="A11" s="1">
        <v>20025</v>
      </c>
      <c r="B11" s="1">
        <v>0</v>
      </c>
      <c r="C11" s="1">
        <v>200323067</v>
      </c>
      <c r="D11" s="1" t="s">
        <v>114</v>
      </c>
      <c r="E11" s="1">
        <v>24</v>
      </c>
      <c r="F11" s="1">
        <v>10</v>
      </c>
      <c r="G11" s="1">
        <v>2</v>
      </c>
      <c r="H11" s="1">
        <v>1</v>
      </c>
      <c r="I11" s="1">
        <v>2020</v>
      </c>
      <c r="J11" s="1">
        <v>4</v>
      </c>
      <c r="K11" s="1" t="s">
        <v>0</v>
      </c>
      <c r="L11" s="1">
        <v>2</v>
      </c>
      <c r="M11" s="1">
        <v>30</v>
      </c>
      <c r="N11" s="1">
        <v>0</v>
      </c>
      <c r="O11" s="1">
        <v>44595.653796296298</v>
      </c>
      <c r="P11" s="1">
        <v>44607013</v>
      </c>
      <c r="Q11" s="1">
        <v>46877464.600000001</v>
      </c>
      <c r="R11" s="1">
        <v>0</v>
      </c>
      <c r="S11" s="1">
        <v>2270451.6</v>
      </c>
      <c r="T11" s="1">
        <v>5186927.84</v>
      </c>
      <c r="U11" s="1">
        <v>557570.25</v>
      </c>
      <c r="V11" s="1">
        <v>1304641.82</v>
      </c>
      <c r="W11" s="1">
        <v>3324715.77</v>
      </c>
      <c r="X11" s="1"/>
      <c r="Y11" s="1"/>
      <c r="Z11" s="1">
        <v>0</v>
      </c>
      <c r="AA11" s="1">
        <v>7457379.4400000004</v>
      </c>
      <c r="AB11" s="1">
        <v>137311.65</v>
      </c>
      <c r="AC11" s="1"/>
      <c r="AD11" s="1"/>
      <c r="AE11" s="1"/>
      <c r="AF11" s="1">
        <v>137311.65</v>
      </c>
      <c r="AG11" s="1"/>
      <c r="AH11" s="1">
        <v>9845259.9399999995</v>
      </c>
      <c r="AI11" s="1">
        <v>6693266.2699999996</v>
      </c>
      <c r="AJ11" s="1"/>
      <c r="AK11" s="1">
        <v>3151993.67</v>
      </c>
      <c r="AL11" s="1"/>
      <c r="AM11" s="1">
        <v>0</v>
      </c>
      <c r="AN11" s="1">
        <v>17165327.73</v>
      </c>
      <c r="AO11" s="1"/>
      <c r="AP11" s="1"/>
      <c r="AQ11" s="1">
        <v>0</v>
      </c>
      <c r="AR11" s="1">
        <v>17165327.73</v>
      </c>
      <c r="AS11" s="1"/>
      <c r="AT11" s="1"/>
      <c r="AU11" s="1">
        <v>-17165327.73</v>
      </c>
      <c r="AV11" s="1">
        <v>17165327.73</v>
      </c>
    </row>
    <row r="12" spans="1:48" s="3" customFormat="1" ht="12" x14ac:dyDescent="0.2">
      <c r="A12" s="1">
        <v>20025</v>
      </c>
      <c r="B12" s="1">
        <v>0</v>
      </c>
      <c r="C12" s="1">
        <v>200323067</v>
      </c>
      <c r="D12" s="1" t="s">
        <v>114</v>
      </c>
      <c r="E12" s="1">
        <v>24</v>
      </c>
      <c r="F12" s="1">
        <v>10</v>
      </c>
      <c r="G12" s="1">
        <v>2</v>
      </c>
      <c r="H12" s="1">
        <v>1</v>
      </c>
      <c r="I12" s="1">
        <v>2019</v>
      </c>
      <c r="J12" s="1">
        <v>4</v>
      </c>
      <c r="K12" s="1" t="s">
        <v>0</v>
      </c>
      <c r="L12" s="1">
        <v>1</v>
      </c>
      <c r="M12" s="1">
        <v>30</v>
      </c>
      <c r="N12" s="1">
        <v>0</v>
      </c>
      <c r="O12" s="1">
        <v>44594.93608796296</v>
      </c>
      <c r="P12" s="1">
        <v>79332625.769999996</v>
      </c>
      <c r="Q12" s="1">
        <v>66950507.210000001</v>
      </c>
      <c r="R12" s="1">
        <v>12382118.560000001</v>
      </c>
      <c r="S12" s="1">
        <v>0</v>
      </c>
      <c r="T12" s="1">
        <v>9065972.0199999996</v>
      </c>
      <c r="U12" s="1">
        <v>1643798.2</v>
      </c>
      <c r="V12" s="1">
        <v>1691684.89</v>
      </c>
      <c r="W12" s="1">
        <v>5730488.9299999997</v>
      </c>
      <c r="X12" s="1"/>
      <c r="Y12" s="1">
        <v>543632.89</v>
      </c>
      <c r="Z12" s="1">
        <v>3859779.43</v>
      </c>
      <c r="AA12" s="1">
        <v>0</v>
      </c>
      <c r="AB12" s="1">
        <v>166758.79</v>
      </c>
      <c r="AC12" s="1"/>
      <c r="AD12" s="1"/>
      <c r="AE12" s="1"/>
      <c r="AF12" s="1">
        <v>166758.79</v>
      </c>
      <c r="AG12" s="1"/>
      <c r="AH12" s="1">
        <v>2999686.2</v>
      </c>
      <c r="AI12" s="1">
        <v>2553790.0299999998</v>
      </c>
      <c r="AJ12" s="1"/>
      <c r="AK12" s="1">
        <v>445896.17</v>
      </c>
      <c r="AL12" s="1"/>
      <c r="AM12" s="1">
        <v>1026852.02</v>
      </c>
      <c r="AN12" s="1">
        <v>0</v>
      </c>
      <c r="AO12" s="1"/>
      <c r="AP12" s="1"/>
      <c r="AQ12" s="1">
        <v>1026852.02</v>
      </c>
      <c r="AR12" s="1">
        <v>0</v>
      </c>
      <c r="AS12" s="1">
        <v>507917.49</v>
      </c>
      <c r="AT12" s="1"/>
      <c r="AU12" s="1">
        <v>518934.53</v>
      </c>
      <c r="AV12" s="1">
        <v>0</v>
      </c>
    </row>
    <row r="13" spans="1:48" s="3" customFormat="1" ht="12" x14ac:dyDescent="0.2">
      <c r="A13" s="1">
        <v>20025</v>
      </c>
      <c r="B13" s="1">
        <v>0</v>
      </c>
      <c r="C13" s="7">
        <v>200323067</v>
      </c>
      <c r="D13" s="1" t="s">
        <v>114</v>
      </c>
      <c r="E13" s="1">
        <v>24</v>
      </c>
      <c r="F13" s="1">
        <v>10</v>
      </c>
      <c r="G13" s="1">
        <v>2</v>
      </c>
      <c r="H13" s="1">
        <v>1</v>
      </c>
      <c r="I13" s="1">
        <v>2018</v>
      </c>
      <c r="J13" s="1">
        <v>4</v>
      </c>
      <c r="K13" s="1" t="s">
        <v>0</v>
      </c>
      <c r="L13" s="1">
        <v>2</v>
      </c>
      <c r="M13" s="1">
        <v>30</v>
      </c>
      <c r="N13" s="1">
        <v>0</v>
      </c>
      <c r="O13" s="1">
        <v>43620.445960648147</v>
      </c>
      <c r="P13" s="1">
        <v>97033863</v>
      </c>
      <c r="Q13" s="1">
        <v>62460696</v>
      </c>
      <c r="R13" s="2">
        <v>34573167</v>
      </c>
      <c r="S13" s="2">
        <v>0</v>
      </c>
      <c r="T13" s="1">
        <v>17086356</v>
      </c>
      <c r="U13" s="1">
        <v>1845059</v>
      </c>
      <c r="V13" s="1">
        <v>3231691</v>
      </c>
      <c r="W13" s="1">
        <v>12009606</v>
      </c>
      <c r="X13" s="1"/>
      <c r="Y13" s="1">
        <v>4003513</v>
      </c>
      <c r="Z13" s="1">
        <v>21490324</v>
      </c>
      <c r="AA13" s="1">
        <v>0</v>
      </c>
      <c r="AB13" s="1">
        <v>166410</v>
      </c>
      <c r="AC13" s="1"/>
      <c r="AD13" s="1"/>
      <c r="AE13" s="1"/>
      <c r="AF13" s="1">
        <v>166410</v>
      </c>
      <c r="AG13" s="1"/>
      <c r="AH13" s="1">
        <v>2213662</v>
      </c>
      <c r="AI13" s="1">
        <v>992462</v>
      </c>
      <c r="AJ13" s="1"/>
      <c r="AK13" s="1">
        <v>1221200</v>
      </c>
      <c r="AL13" s="1"/>
      <c r="AM13" s="1">
        <v>19443072</v>
      </c>
      <c r="AN13" s="1">
        <v>0</v>
      </c>
      <c r="AO13" s="1"/>
      <c r="AP13" s="1"/>
      <c r="AQ13" s="1">
        <v>19443072</v>
      </c>
      <c r="AR13" s="1">
        <v>0</v>
      </c>
      <c r="AS13" s="1">
        <v>3048057</v>
      </c>
      <c r="AT13" s="1"/>
      <c r="AU13" s="1">
        <v>16395015</v>
      </c>
      <c r="AV13" s="1">
        <v>0</v>
      </c>
    </row>
    <row r="14" spans="1:48" s="3" customFormat="1" ht="12" x14ac:dyDescent="0.2">
      <c r="A14" s="1">
        <v>20025</v>
      </c>
      <c r="B14" s="1">
        <v>0</v>
      </c>
      <c r="C14" s="1">
        <v>200466854</v>
      </c>
      <c r="D14" s="1" t="s">
        <v>115</v>
      </c>
      <c r="E14" s="1">
        <v>27</v>
      </c>
      <c r="F14" s="1">
        <v>22</v>
      </c>
      <c r="G14" s="1">
        <v>0</v>
      </c>
      <c r="H14" s="1">
        <v>8</v>
      </c>
      <c r="I14" s="1">
        <v>2021</v>
      </c>
      <c r="J14" s="1">
        <v>4</v>
      </c>
      <c r="K14" s="1" t="s">
        <v>0</v>
      </c>
      <c r="L14" s="1">
        <v>1</v>
      </c>
      <c r="M14" s="1">
        <v>30</v>
      </c>
      <c r="N14" s="1">
        <v>0</v>
      </c>
      <c r="O14" s="1">
        <v>44624.64534722222</v>
      </c>
      <c r="P14" s="1">
        <v>52984736.799999997</v>
      </c>
      <c r="Q14" s="1">
        <v>44885047.479999997</v>
      </c>
      <c r="R14" s="1">
        <v>8099689.3200000003</v>
      </c>
      <c r="S14" s="1">
        <v>0</v>
      </c>
      <c r="T14" s="1">
        <v>14216257.970000001</v>
      </c>
      <c r="U14" s="1">
        <v>632145.61</v>
      </c>
      <c r="V14" s="1">
        <v>1540493.82</v>
      </c>
      <c r="W14" s="1">
        <v>12043618.539999999</v>
      </c>
      <c r="X14" s="1"/>
      <c r="Y14" s="1">
        <v>207612.23</v>
      </c>
      <c r="Z14" s="1">
        <v>0</v>
      </c>
      <c r="AA14" s="1">
        <v>5908956.4199999999</v>
      </c>
      <c r="AB14" s="1">
        <v>892245.84</v>
      </c>
      <c r="AC14" s="1"/>
      <c r="AD14" s="1">
        <v>435482.4</v>
      </c>
      <c r="AE14" s="1"/>
      <c r="AF14" s="1">
        <v>456763.44</v>
      </c>
      <c r="AG14" s="1"/>
      <c r="AH14" s="1">
        <v>1229110.1399999999</v>
      </c>
      <c r="AI14" s="1">
        <v>936844.26</v>
      </c>
      <c r="AJ14" s="1"/>
      <c r="AK14" s="1">
        <v>292265.88</v>
      </c>
      <c r="AL14" s="1"/>
      <c r="AM14" s="1">
        <v>0</v>
      </c>
      <c r="AN14" s="1">
        <v>6245820.7199999997</v>
      </c>
      <c r="AO14" s="1">
        <v>632213.4</v>
      </c>
      <c r="AP14" s="1"/>
      <c r="AQ14" s="1">
        <v>0</v>
      </c>
      <c r="AR14" s="1">
        <v>5613607.3200000003</v>
      </c>
      <c r="AS14" s="1">
        <v>72724.36</v>
      </c>
      <c r="AT14" s="1"/>
      <c r="AU14" s="1">
        <v>-5686331.6799999997</v>
      </c>
      <c r="AV14" s="1">
        <v>5686331.6799999997</v>
      </c>
    </row>
    <row r="15" spans="1:48" s="3" customFormat="1" ht="12" x14ac:dyDescent="0.2">
      <c r="A15" s="1">
        <v>20025</v>
      </c>
      <c r="B15" s="1">
        <v>0</v>
      </c>
      <c r="C15" s="1">
        <v>200466854</v>
      </c>
      <c r="D15" s="1" t="s">
        <v>115</v>
      </c>
      <c r="E15" s="1">
        <v>27</v>
      </c>
      <c r="F15" s="1">
        <v>22</v>
      </c>
      <c r="G15" s="1">
        <v>0</v>
      </c>
      <c r="H15" s="1">
        <v>8</v>
      </c>
      <c r="I15" s="1">
        <v>2020</v>
      </c>
      <c r="J15" s="1">
        <v>4</v>
      </c>
      <c r="K15" s="1" t="s">
        <v>0</v>
      </c>
      <c r="L15" s="1">
        <v>1</v>
      </c>
      <c r="M15" s="1">
        <v>30</v>
      </c>
      <c r="N15" s="1">
        <v>0</v>
      </c>
      <c r="O15" s="1">
        <v>44264.479687500003</v>
      </c>
      <c r="P15" s="1">
        <v>74845843.200000003</v>
      </c>
      <c r="Q15" s="1">
        <v>66011936.439999998</v>
      </c>
      <c r="R15" s="1">
        <v>8833906.7599999998</v>
      </c>
      <c r="S15" s="1">
        <v>0</v>
      </c>
      <c r="T15" s="1">
        <v>13246711.800000001</v>
      </c>
      <c r="U15" s="1">
        <v>914490.4</v>
      </c>
      <c r="V15" s="1">
        <v>1549350.68</v>
      </c>
      <c r="W15" s="1">
        <v>10782870.720000001</v>
      </c>
      <c r="X15" s="1"/>
      <c r="Y15" s="1">
        <v>1014300</v>
      </c>
      <c r="Z15" s="1">
        <v>0</v>
      </c>
      <c r="AA15" s="1">
        <v>3398505.04</v>
      </c>
      <c r="AB15" s="1">
        <v>2078420.35</v>
      </c>
      <c r="AC15" s="1"/>
      <c r="AD15" s="1">
        <v>490712.16</v>
      </c>
      <c r="AE15" s="1"/>
      <c r="AF15" s="1">
        <v>1587708.19</v>
      </c>
      <c r="AG15" s="1"/>
      <c r="AH15" s="1">
        <v>2625300.63</v>
      </c>
      <c r="AI15" s="1">
        <v>2467219.4500000002</v>
      </c>
      <c r="AJ15" s="1"/>
      <c r="AK15" s="1">
        <v>158081.18</v>
      </c>
      <c r="AL15" s="1"/>
      <c r="AM15" s="1">
        <v>0</v>
      </c>
      <c r="AN15" s="1">
        <v>3945385.32</v>
      </c>
      <c r="AO15" s="1"/>
      <c r="AP15" s="1"/>
      <c r="AQ15" s="1">
        <v>0</v>
      </c>
      <c r="AR15" s="1">
        <v>3945385.32</v>
      </c>
      <c r="AS15" s="1">
        <v>0</v>
      </c>
      <c r="AT15" s="1"/>
      <c r="AU15" s="1">
        <v>-3945385.32</v>
      </c>
      <c r="AV15" s="1">
        <v>3945385.32</v>
      </c>
    </row>
    <row r="16" spans="1:48" s="3" customFormat="1" ht="12" x14ac:dyDescent="0.2">
      <c r="A16" s="1">
        <v>20025</v>
      </c>
      <c r="B16" s="1">
        <v>0</v>
      </c>
      <c r="C16" s="1">
        <v>200466854</v>
      </c>
      <c r="D16" s="1" t="s">
        <v>115</v>
      </c>
      <c r="E16" s="1">
        <v>27</v>
      </c>
      <c r="F16" s="1">
        <v>22</v>
      </c>
      <c r="G16" s="1">
        <v>0</v>
      </c>
      <c r="H16" s="1">
        <v>8</v>
      </c>
      <c r="I16" s="1">
        <v>2019</v>
      </c>
      <c r="J16" s="1">
        <v>4</v>
      </c>
      <c r="K16" s="1" t="s">
        <v>0</v>
      </c>
      <c r="L16" s="1">
        <v>2</v>
      </c>
      <c r="M16" s="1">
        <v>30</v>
      </c>
      <c r="N16" s="1">
        <v>0</v>
      </c>
      <c r="O16" s="1">
        <v>43997.680208333331</v>
      </c>
      <c r="P16" s="1">
        <v>97998105.099999994</v>
      </c>
      <c r="Q16" s="1">
        <v>77347963.299999997</v>
      </c>
      <c r="R16" s="1">
        <v>20650141.800000001</v>
      </c>
      <c r="S16" s="1">
        <v>0</v>
      </c>
      <c r="T16" s="1">
        <v>16871147.859999999</v>
      </c>
      <c r="U16" s="1">
        <v>1019684.52</v>
      </c>
      <c r="V16" s="1">
        <v>1751020.71</v>
      </c>
      <c r="W16" s="1">
        <v>14100442.630000001</v>
      </c>
      <c r="X16" s="1"/>
      <c r="Y16" s="1">
        <v>758393.94</v>
      </c>
      <c r="Z16" s="1">
        <v>4537387.88</v>
      </c>
      <c r="AA16" s="1">
        <v>0</v>
      </c>
      <c r="AB16" s="1">
        <v>2738899.89</v>
      </c>
      <c r="AC16" s="1"/>
      <c r="AD16" s="1">
        <v>128878.32</v>
      </c>
      <c r="AE16" s="1"/>
      <c r="AF16" s="1">
        <v>2610021.5699999998</v>
      </c>
      <c r="AG16" s="1"/>
      <c r="AH16" s="1">
        <v>1013142.32</v>
      </c>
      <c r="AI16" s="1">
        <v>647106.39</v>
      </c>
      <c r="AJ16" s="1"/>
      <c r="AK16" s="1">
        <v>366035.94</v>
      </c>
      <c r="AL16" s="1">
        <v>-0.01</v>
      </c>
      <c r="AM16" s="1">
        <v>6263145.4500000002</v>
      </c>
      <c r="AN16" s="1">
        <v>0</v>
      </c>
      <c r="AO16" s="1">
        <v>3557747.06</v>
      </c>
      <c r="AP16" s="1"/>
      <c r="AQ16" s="1">
        <v>9820892.5099999998</v>
      </c>
      <c r="AR16" s="1">
        <v>0</v>
      </c>
      <c r="AS16" s="1">
        <v>1392652.56</v>
      </c>
      <c r="AT16" s="1"/>
      <c r="AU16" s="1">
        <v>8428239.9499999993</v>
      </c>
      <c r="AV16" s="1">
        <v>0</v>
      </c>
    </row>
    <row r="17" spans="1:48" s="3" customFormat="1" ht="12" x14ac:dyDescent="0.2">
      <c r="A17" s="1">
        <v>20025</v>
      </c>
      <c r="B17" s="1">
        <v>0</v>
      </c>
      <c r="C17" s="7">
        <v>200466854</v>
      </c>
      <c r="D17" s="1" t="s">
        <v>115</v>
      </c>
      <c r="E17" s="1">
        <v>27</v>
      </c>
      <c r="F17" s="1">
        <v>22</v>
      </c>
      <c r="G17" s="1">
        <v>0</v>
      </c>
      <c r="H17" s="1">
        <v>8</v>
      </c>
      <c r="I17" s="1">
        <v>2018</v>
      </c>
      <c r="J17" s="1">
        <v>4</v>
      </c>
      <c r="K17" s="1" t="s">
        <v>0</v>
      </c>
      <c r="L17" s="1">
        <v>1</v>
      </c>
      <c r="M17" s="1">
        <v>30</v>
      </c>
      <c r="N17" s="1">
        <v>0</v>
      </c>
      <c r="O17" s="1">
        <v>43544.577013888891</v>
      </c>
      <c r="P17" s="1">
        <v>100987338.90000001</v>
      </c>
      <c r="Q17" s="1">
        <v>68261108</v>
      </c>
      <c r="R17" s="2">
        <v>32726230.899999999</v>
      </c>
      <c r="S17" s="2">
        <v>0</v>
      </c>
      <c r="T17" s="1">
        <v>18726064.199999999</v>
      </c>
      <c r="U17" s="1">
        <v>1011860.7</v>
      </c>
      <c r="V17" s="1">
        <v>1488125.9</v>
      </c>
      <c r="W17" s="1">
        <v>16226077.6</v>
      </c>
      <c r="X17" s="1"/>
      <c r="Y17" s="1">
        <v>2120524.7999999998</v>
      </c>
      <c r="Z17" s="1">
        <v>16120691.5</v>
      </c>
      <c r="AA17" s="1">
        <v>0</v>
      </c>
      <c r="AB17" s="1">
        <v>1206206.8</v>
      </c>
      <c r="AC17" s="1"/>
      <c r="AD17" s="1"/>
      <c r="AE17" s="1"/>
      <c r="AF17" s="1">
        <v>1206206.8</v>
      </c>
      <c r="AG17" s="1"/>
      <c r="AH17" s="1">
        <v>1171350.5</v>
      </c>
      <c r="AI17" s="1">
        <v>354341.5</v>
      </c>
      <c r="AJ17" s="1"/>
      <c r="AK17" s="1">
        <v>817009</v>
      </c>
      <c r="AL17" s="1"/>
      <c r="AM17" s="1">
        <v>16155547.800000001</v>
      </c>
      <c r="AN17" s="1">
        <v>0</v>
      </c>
      <c r="AO17" s="1"/>
      <c r="AP17" s="1"/>
      <c r="AQ17" s="1">
        <v>16155547.800000001</v>
      </c>
      <c r="AR17" s="1">
        <v>0</v>
      </c>
      <c r="AS17" s="1">
        <v>2529312.5</v>
      </c>
      <c r="AT17" s="1"/>
      <c r="AU17" s="1">
        <v>13626235.300000001</v>
      </c>
      <c r="AV17" s="1">
        <v>0</v>
      </c>
    </row>
    <row r="18" spans="1:48" s="3" customFormat="1" ht="12" x14ac:dyDescent="0.2">
      <c r="A18" s="1">
        <v>20025</v>
      </c>
      <c r="B18" s="1">
        <v>0</v>
      </c>
      <c r="C18" s="1">
        <v>200670095</v>
      </c>
      <c r="D18" s="1" t="s">
        <v>116</v>
      </c>
      <c r="E18" s="1">
        <v>10</v>
      </c>
      <c r="F18" s="1">
        <v>1</v>
      </c>
      <c r="G18" s="1">
        <v>0</v>
      </c>
      <c r="H18" s="1">
        <v>1</v>
      </c>
      <c r="I18" s="1">
        <v>2021</v>
      </c>
      <c r="J18" s="1">
        <v>4</v>
      </c>
      <c r="K18" s="1" t="s">
        <v>0</v>
      </c>
      <c r="L18" s="1">
        <v>2</v>
      </c>
      <c r="M18" s="1">
        <v>30</v>
      </c>
      <c r="N18" s="1">
        <v>0</v>
      </c>
      <c r="O18" s="1">
        <v>44621.474432870367</v>
      </c>
      <c r="P18" s="1">
        <v>35499083</v>
      </c>
      <c r="Q18" s="1">
        <v>40433151</v>
      </c>
      <c r="R18" s="1">
        <v>0</v>
      </c>
      <c r="S18" s="1">
        <v>4934068</v>
      </c>
      <c r="T18" s="1">
        <v>3297448</v>
      </c>
      <c r="U18" s="1">
        <v>525711</v>
      </c>
      <c r="V18" s="1">
        <v>842017</v>
      </c>
      <c r="W18" s="1">
        <v>1929720</v>
      </c>
      <c r="X18" s="1"/>
      <c r="Y18" s="1">
        <v>1645784</v>
      </c>
      <c r="Z18" s="1">
        <v>0</v>
      </c>
      <c r="AA18" s="1">
        <v>6585732</v>
      </c>
      <c r="AB18" s="1"/>
      <c r="AC18" s="1"/>
      <c r="AD18" s="1"/>
      <c r="AE18" s="1"/>
      <c r="AF18" s="1"/>
      <c r="AG18" s="1"/>
      <c r="AH18" s="1">
        <v>3219476</v>
      </c>
      <c r="AI18" s="1">
        <v>3098555</v>
      </c>
      <c r="AJ18" s="1"/>
      <c r="AK18" s="1"/>
      <c r="AL18" s="1">
        <v>120921</v>
      </c>
      <c r="AM18" s="1">
        <v>0</v>
      </c>
      <c r="AN18" s="1">
        <v>9805208</v>
      </c>
      <c r="AO18" s="1"/>
      <c r="AP18" s="1"/>
      <c r="AQ18" s="1">
        <v>0</v>
      </c>
      <c r="AR18" s="1">
        <v>9805208</v>
      </c>
      <c r="AS18" s="1"/>
      <c r="AT18" s="1"/>
      <c r="AU18" s="1">
        <v>-9805208</v>
      </c>
      <c r="AV18" s="1">
        <v>9805208</v>
      </c>
    </row>
    <row r="19" spans="1:48" s="3" customFormat="1" ht="12" x14ac:dyDescent="0.2">
      <c r="A19" s="1">
        <v>20025</v>
      </c>
      <c r="B19" s="1">
        <v>0</v>
      </c>
      <c r="C19" s="1">
        <v>200670095</v>
      </c>
      <c r="D19" s="1" t="s">
        <v>116</v>
      </c>
      <c r="E19" s="1">
        <v>10</v>
      </c>
      <c r="F19" s="1">
        <v>1</v>
      </c>
      <c r="G19" s="1">
        <v>0</v>
      </c>
      <c r="H19" s="1">
        <v>1</v>
      </c>
      <c r="I19" s="1">
        <v>2020</v>
      </c>
      <c r="J19" s="1">
        <v>4</v>
      </c>
      <c r="K19" s="1" t="s">
        <v>0</v>
      </c>
      <c r="L19" s="1">
        <v>2</v>
      </c>
      <c r="M19" s="1">
        <v>30</v>
      </c>
      <c r="N19" s="1">
        <v>0</v>
      </c>
      <c r="O19" s="1">
        <v>44257.581990740742</v>
      </c>
      <c r="P19" s="1">
        <v>43652138</v>
      </c>
      <c r="Q19" s="1">
        <v>36591361</v>
      </c>
      <c r="R19" s="1">
        <v>7060777</v>
      </c>
      <c r="S19" s="1">
        <v>0</v>
      </c>
      <c r="T19" s="1">
        <v>5066561</v>
      </c>
      <c r="U19" s="1">
        <v>608108</v>
      </c>
      <c r="V19" s="1">
        <v>525999</v>
      </c>
      <c r="W19" s="1">
        <v>3932454</v>
      </c>
      <c r="X19" s="1"/>
      <c r="Y19" s="1">
        <v>411765</v>
      </c>
      <c r="Z19" s="1">
        <v>2405981</v>
      </c>
      <c r="AA19" s="1">
        <v>0</v>
      </c>
      <c r="AB19" s="1">
        <v>449977</v>
      </c>
      <c r="AC19" s="1"/>
      <c r="AD19" s="1"/>
      <c r="AE19" s="1"/>
      <c r="AF19" s="1">
        <v>449977</v>
      </c>
      <c r="AG19" s="1"/>
      <c r="AH19" s="1">
        <v>2713414</v>
      </c>
      <c r="AI19" s="1">
        <v>1418471</v>
      </c>
      <c r="AJ19" s="1"/>
      <c r="AK19" s="1">
        <v>1210768</v>
      </c>
      <c r="AL19" s="1">
        <v>84175</v>
      </c>
      <c r="AM19" s="1">
        <v>142544</v>
      </c>
      <c r="AN19" s="1">
        <v>0</v>
      </c>
      <c r="AO19" s="1"/>
      <c r="AP19" s="1"/>
      <c r="AQ19" s="1">
        <v>142544</v>
      </c>
      <c r="AR19" s="1">
        <v>0</v>
      </c>
      <c r="AS19" s="1">
        <v>94674</v>
      </c>
      <c r="AT19" s="1"/>
      <c r="AU19" s="1">
        <v>47870</v>
      </c>
      <c r="AV19" s="1">
        <v>0</v>
      </c>
    </row>
    <row r="20" spans="1:48" s="3" customFormat="1" ht="12" x14ac:dyDescent="0.2">
      <c r="A20" s="1">
        <v>20025</v>
      </c>
      <c r="B20" s="1">
        <v>0</v>
      </c>
      <c r="C20" s="1">
        <v>200670095</v>
      </c>
      <c r="D20" s="1" t="s">
        <v>116</v>
      </c>
      <c r="E20" s="1">
        <v>10</v>
      </c>
      <c r="F20" s="1">
        <v>1</v>
      </c>
      <c r="G20" s="1">
        <v>0</v>
      </c>
      <c r="H20" s="1">
        <v>1</v>
      </c>
      <c r="I20" s="1">
        <v>2019</v>
      </c>
      <c r="J20" s="1">
        <v>4</v>
      </c>
      <c r="K20" s="1" t="s">
        <v>0</v>
      </c>
      <c r="L20" s="1">
        <v>2</v>
      </c>
      <c r="M20" s="1">
        <v>30</v>
      </c>
      <c r="N20" s="1">
        <v>0</v>
      </c>
      <c r="O20" s="1">
        <v>43882.716736111113</v>
      </c>
      <c r="P20" s="1">
        <v>42997556</v>
      </c>
      <c r="Q20" s="1">
        <v>37310743</v>
      </c>
      <c r="R20" s="1">
        <v>5686813</v>
      </c>
      <c r="S20" s="1">
        <v>0</v>
      </c>
      <c r="T20" s="1">
        <v>6236683</v>
      </c>
      <c r="U20" s="1">
        <v>736754</v>
      </c>
      <c r="V20" s="1">
        <v>924979</v>
      </c>
      <c r="W20" s="1">
        <v>4574950</v>
      </c>
      <c r="X20" s="1"/>
      <c r="Y20" s="1">
        <v>134350</v>
      </c>
      <c r="Z20" s="1">
        <v>0</v>
      </c>
      <c r="AA20" s="1">
        <v>415520</v>
      </c>
      <c r="AB20" s="1">
        <v>247622</v>
      </c>
      <c r="AC20" s="1">
        <v>1045</v>
      </c>
      <c r="AD20" s="1"/>
      <c r="AE20" s="1"/>
      <c r="AF20" s="1">
        <v>246577</v>
      </c>
      <c r="AG20" s="1"/>
      <c r="AH20" s="1">
        <v>9121558</v>
      </c>
      <c r="AI20" s="1">
        <v>7991987</v>
      </c>
      <c r="AJ20" s="1"/>
      <c r="AK20" s="1">
        <v>153008</v>
      </c>
      <c r="AL20" s="1">
        <v>976563</v>
      </c>
      <c r="AM20" s="1">
        <v>0</v>
      </c>
      <c r="AN20" s="1">
        <v>9289456</v>
      </c>
      <c r="AO20" s="1"/>
      <c r="AP20" s="1"/>
      <c r="AQ20" s="1">
        <v>0</v>
      </c>
      <c r="AR20" s="1">
        <v>9289456</v>
      </c>
      <c r="AS20" s="1">
        <v>0</v>
      </c>
      <c r="AT20" s="1"/>
      <c r="AU20" s="1">
        <v>-9289456</v>
      </c>
      <c r="AV20" s="1">
        <v>9289456</v>
      </c>
    </row>
    <row r="21" spans="1:48" s="3" customFormat="1" ht="12" x14ac:dyDescent="0.2">
      <c r="A21" s="1">
        <v>20025</v>
      </c>
      <c r="B21" s="1">
        <v>0</v>
      </c>
      <c r="C21" s="7">
        <v>200670095</v>
      </c>
      <c r="D21" s="1" t="s">
        <v>116</v>
      </c>
      <c r="E21" s="1">
        <v>10</v>
      </c>
      <c r="F21" s="1">
        <v>1</v>
      </c>
      <c r="G21" s="1">
        <v>0</v>
      </c>
      <c r="H21" s="1">
        <v>1</v>
      </c>
      <c r="I21" s="1">
        <v>2018</v>
      </c>
      <c r="J21" s="1">
        <v>4</v>
      </c>
      <c r="K21" s="1" t="s">
        <v>0</v>
      </c>
      <c r="L21" s="1">
        <v>1</v>
      </c>
      <c r="M21" s="1">
        <v>30</v>
      </c>
      <c r="N21" s="1">
        <v>0</v>
      </c>
      <c r="O21" s="1">
        <v>43511.605752314812</v>
      </c>
      <c r="P21" s="1">
        <v>68277406</v>
      </c>
      <c r="Q21" s="1">
        <v>51607017</v>
      </c>
      <c r="R21" s="2">
        <v>16670389</v>
      </c>
      <c r="S21" s="2">
        <v>0</v>
      </c>
      <c r="T21" s="1">
        <v>10124673</v>
      </c>
      <c r="U21" s="1">
        <v>957366</v>
      </c>
      <c r="V21" s="1">
        <v>975220</v>
      </c>
      <c r="W21" s="1">
        <v>8192087</v>
      </c>
      <c r="X21" s="1"/>
      <c r="Y21" s="1">
        <v>291328</v>
      </c>
      <c r="Z21" s="1">
        <v>6837044</v>
      </c>
      <c r="AA21" s="1">
        <v>0</v>
      </c>
      <c r="AB21" s="1">
        <v>1357567</v>
      </c>
      <c r="AC21" s="1">
        <v>119977</v>
      </c>
      <c r="AD21" s="1"/>
      <c r="AE21" s="1"/>
      <c r="AF21" s="1">
        <v>1237590</v>
      </c>
      <c r="AG21" s="1"/>
      <c r="AH21" s="1">
        <v>5215432</v>
      </c>
      <c r="AI21" s="1">
        <v>2701544</v>
      </c>
      <c r="AJ21" s="1"/>
      <c r="AK21" s="1">
        <v>2513888</v>
      </c>
      <c r="AL21" s="1"/>
      <c r="AM21" s="1">
        <v>2979179</v>
      </c>
      <c r="AN21" s="1">
        <v>0</v>
      </c>
      <c r="AO21" s="1"/>
      <c r="AP21" s="1"/>
      <c r="AQ21" s="1">
        <v>2979179</v>
      </c>
      <c r="AR21" s="1">
        <v>0</v>
      </c>
      <c r="AS21" s="1">
        <v>905210</v>
      </c>
      <c r="AT21" s="1">
        <v>0</v>
      </c>
      <c r="AU21" s="1">
        <v>2073969</v>
      </c>
      <c r="AV21" s="1">
        <v>0</v>
      </c>
    </row>
    <row r="22" spans="1:48" s="3" customFormat="1" ht="12" x14ac:dyDescent="0.2">
      <c r="A22" s="1">
        <v>20025</v>
      </c>
      <c r="B22" s="1">
        <v>0</v>
      </c>
      <c r="C22" s="1">
        <v>200930049</v>
      </c>
      <c r="D22" s="1" t="s">
        <v>117</v>
      </c>
      <c r="E22" s="1">
        <v>35</v>
      </c>
      <c r="F22" s="1">
        <v>9</v>
      </c>
      <c r="G22" s="1">
        <v>0</v>
      </c>
      <c r="H22" s="1">
        <v>1</v>
      </c>
      <c r="I22" s="1">
        <v>2021</v>
      </c>
      <c r="J22" s="1">
        <v>4</v>
      </c>
      <c r="K22" s="1" t="s">
        <v>0</v>
      </c>
      <c r="L22" s="1">
        <v>2</v>
      </c>
      <c r="M22" s="1">
        <v>30</v>
      </c>
      <c r="N22" s="1">
        <v>0</v>
      </c>
      <c r="O22" s="1">
        <v>44612.999166666668</v>
      </c>
      <c r="P22" s="1">
        <v>23992920</v>
      </c>
      <c r="Q22" s="1">
        <v>23804662</v>
      </c>
      <c r="R22" s="1">
        <v>188258</v>
      </c>
      <c r="S22" s="1">
        <v>0</v>
      </c>
      <c r="T22" s="1">
        <v>5483339</v>
      </c>
      <c r="U22" s="1">
        <v>165841</v>
      </c>
      <c r="V22" s="1">
        <v>1266143</v>
      </c>
      <c r="W22" s="1">
        <v>4051355</v>
      </c>
      <c r="X22" s="1"/>
      <c r="Y22" s="1">
        <v>5639799</v>
      </c>
      <c r="Z22" s="1">
        <v>344718</v>
      </c>
      <c r="AA22" s="1">
        <v>0</v>
      </c>
      <c r="AB22" s="1">
        <v>3096</v>
      </c>
      <c r="AC22" s="1"/>
      <c r="AD22" s="1"/>
      <c r="AE22" s="1"/>
      <c r="AF22" s="1">
        <v>3096</v>
      </c>
      <c r="AG22" s="1"/>
      <c r="AH22" s="1">
        <v>269643</v>
      </c>
      <c r="AI22" s="1">
        <v>269617</v>
      </c>
      <c r="AJ22" s="1"/>
      <c r="AK22" s="1">
        <v>26</v>
      </c>
      <c r="AL22" s="1"/>
      <c r="AM22" s="1">
        <v>78171</v>
      </c>
      <c r="AN22" s="1">
        <v>0</v>
      </c>
      <c r="AO22" s="1"/>
      <c r="AP22" s="1"/>
      <c r="AQ22" s="1">
        <v>78171</v>
      </c>
      <c r="AR22" s="1">
        <v>0</v>
      </c>
      <c r="AS22" s="1">
        <v>32823</v>
      </c>
      <c r="AT22" s="1"/>
      <c r="AU22" s="1">
        <v>45348</v>
      </c>
      <c r="AV22" s="1">
        <v>0</v>
      </c>
    </row>
    <row r="23" spans="1:48" s="3" customFormat="1" ht="12" x14ac:dyDescent="0.2">
      <c r="A23" s="1">
        <v>60132</v>
      </c>
      <c r="B23" s="1">
        <v>0</v>
      </c>
      <c r="C23" s="1">
        <v>200930049</v>
      </c>
      <c r="D23" s="1" t="s">
        <v>117</v>
      </c>
      <c r="E23" s="1">
        <v>35</v>
      </c>
      <c r="F23" s="1">
        <v>9</v>
      </c>
      <c r="G23" s="1">
        <v>0</v>
      </c>
      <c r="H23" s="1">
        <v>1</v>
      </c>
      <c r="I23" s="1">
        <v>2020</v>
      </c>
      <c r="J23" s="1">
        <v>4</v>
      </c>
      <c r="K23" s="1" t="s">
        <v>0</v>
      </c>
      <c r="L23" s="1">
        <v>1</v>
      </c>
      <c r="M23" s="1">
        <v>30</v>
      </c>
      <c r="N23" s="1">
        <v>0</v>
      </c>
      <c r="O23" s="1">
        <v>44209.602280092593</v>
      </c>
      <c r="P23" s="1">
        <v>53693302</v>
      </c>
      <c r="Q23" s="1">
        <v>45715709</v>
      </c>
      <c r="R23" s="1">
        <v>7977593</v>
      </c>
      <c r="S23" s="1">
        <v>0</v>
      </c>
      <c r="T23" s="1">
        <v>5318752</v>
      </c>
      <c r="U23" s="1">
        <v>557967</v>
      </c>
      <c r="V23" s="1">
        <v>1902791</v>
      </c>
      <c r="W23" s="1">
        <v>2857994</v>
      </c>
      <c r="X23" s="1"/>
      <c r="Y23" s="1">
        <v>315800</v>
      </c>
      <c r="Z23" s="1">
        <v>2974641</v>
      </c>
      <c r="AA23" s="1">
        <v>0</v>
      </c>
      <c r="AB23" s="1"/>
      <c r="AC23" s="1"/>
      <c r="AD23" s="1"/>
      <c r="AE23" s="1"/>
      <c r="AF23" s="1"/>
      <c r="AG23" s="1"/>
      <c r="AH23" s="1">
        <v>665713</v>
      </c>
      <c r="AI23" s="1">
        <v>355897</v>
      </c>
      <c r="AJ23" s="1"/>
      <c r="AK23" s="1">
        <v>309816</v>
      </c>
      <c r="AL23" s="1"/>
      <c r="AM23" s="1">
        <v>2308928</v>
      </c>
      <c r="AN23" s="1">
        <v>0</v>
      </c>
      <c r="AO23" s="1"/>
      <c r="AP23" s="1"/>
      <c r="AQ23" s="1">
        <v>2308928</v>
      </c>
      <c r="AR23" s="1">
        <v>0</v>
      </c>
      <c r="AS23" s="1">
        <v>346339</v>
      </c>
      <c r="AT23" s="1"/>
      <c r="AU23" s="1">
        <v>1962589</v>
      </c>
      <c r="AV23" s="1">
        <v>0</v>
      </c>
    </row>
    <row r="24" spans="1:48" s="3" customFormat="1" ht="12" x14ac:dyDescent="0.2">
      <c r="A24" s="1">
        <v>20025</v>
      </c>
      <c r="B24" s="1">
        <v>0</v>
      </c>
      <c r="C24" s="1">
        <v>200930049</v>
      </c>
      <c r="D24" s="1" t="s">
        <v>117</v>
      </c>
      <c r="E24" s="1">
        <v>35</v>
      </c>
      <c r="F24" s="1">
        <v>9</v>
      </c>
      <c r="G24" s="1">
        <v>0</v>
      </c>
      <c r="H24" s="1">
        <v>1</v>
      </c>
      <c r="I24" s="1">
        <v>2019</v>
      </c>
      <c r="J24" s="1">
        <v>4</v>
      </c>
      <c r="K24" s="1" t="s">
        <v>0</v>
      </c>
      <c r="L24" s="1">
        <v>1</v>
      </c>
      <c r="M24" s="1">
        <v>30</v>
      </c>
      <c r="N24" s="1">
        <v>0</v>
      </c>
      <c r="O24" s="1">
        <v>43879.828009259261</v>
      </c>
      <c r="P24" s="1">
        <v>60828502</v>
      </c>
      <c r="Q24" s="1">
        <v>50575089</v>
      </c>
      <c r="R24" s="1">
        <v>10253413</v>
      </c>
      <c r="S24" s="1">
        <v>0</v>
      </c>
      <c r="T24" s="1">
        <v>6498182</v>
      </c>
      <c r="U24" s="1">
        <v>462144</v>
      </c>
      <c r="V24" s="1">
        <v>2241914</v>
      </c>
      <c r="W24" s="1">
        <v>3794124</v>
      </c>
      <c r="X24" s="1"/>
      <c r="Y24" s="1">
        <v>178422</v>
      </c>
      <c r="Z24" s="1">
        <v>3933653</v>
      </c>
      <c r="AA24" s="1">
        <v>0</v>
      </c>
      <c r="AB24" s="1">
        <v>121846</v>
      </c>
      <c r="AC24" s="1"/>
      <c r="AD24" s="1"/>
      <c r="AE24" s="1"/>
      <c r="AF24" s="1">
        <v>121846</v>
      </c>
      <c r="AG24" s="1"/>
      <c r="AH24" s="1">
        <v>685293</v>
      </c>
      <c r="AI24" s="1">
        <v>507175</v>
      </c>
      <c r="AJ24" s="1"/>
      <c r="AK24" s="1">
        <v>178118</v>
      </c>
      <c r="AL24" s="1"/>
      <c r="AM24" s="1">
        <v>3370206</v>
      </c>
      <c r="AN24" s="1">
        <v>0</v>
      </c>
      <c r="AO24" s="1"/>
      <c r="AP24" s="1"/>
      <c r="AQ24" s="1">
        <v>3370206</v>
      </c>
      <c r="AR24" s="1">
        <v>0</v>
      </c>
      <c r="AS24" s="1">
        <v>471501</v>
      </c>
      <c r="AT24" s="1"/>
      <c r="AU24" s="1">
        <v>2898705</v>
      </c>
      <c r="AV24" s="1">
        <v>0</v>
      </c>
    </row>
    <row r="25" spans="1:48" s="3" customFormat="1" ht="12" x14ac:dyDescent="0.2">
      <c r="A25" s="1">
        <v>20025</v>
      </c>
      <c r="B25" s="1">
        <v>0</v>
      </c>
      <c r="C25" s="1">
        <v>200930049</v>
      </c>
      <c r="D25" s="1" t="s">
        <v>117</v>
      </c>
      <c r="E25" s="1">
        <v>35</v>
      </c>
      <c r="F25" s="1">
        <v>9</v>
      </c>
      <c r="G25" s="1">
        <v>0</v>
      </c>
      <c r="H25" s="1">
        <v>1</v>
      </c>
      <c r="I25" s="1">
        <v>2018</v>
      </c>
      <c r="J25" s="1">
        <v>4</v>
      </c>
      <c r="K25" s="1" t="s">
        <v>0</v>
      </c>
      <c r="L25" s="1">
        <v>1</v>
      </c>
      <c r="M25" s="1">
        <v>30</v>
      </c>
      <c r="N25" s="1">
        <v>0</v>
      </c>
      <c r="O25" s="1">
        <v>43879.828009259261</v>
      </c>
      <c r="P25" s="1">
        <v>60828502</v>
      </c>
      <c r="Q25" s="1">
        <v>50575089</v>
      </c>
      <c r="R25" s="1">
        <v>10253413</v>
      </c>
      <c r="S25" s="1">
        <v>0</v>
      </c>
      <c r="T25" s="1">
        <v>6498182</v>
      </c>
      <c r="U25" s="1">
        <v>462144</v>
      </c>
      <c r="V25" s="1">
        <v>2241914</v>
      </c>
      <c r="W25" s="1">
        <v>3794124</v>
      </c>
      <c r="X25" s="1"/>
      <c r="Y25" s="1">
        <v>178422</v>
      </c>
      <c r="Z25" s="1">
        <v>3933653</v>
      </c>
      <c r="AA25" s="1">
        <v>0</v>
      </c>
      <c r="AB25" s="1">
        <v>121846</v>
      </c>
      <c r="AC25" s="1"/>
      <c r="AD25" s="1"/>
      <c r="AE25" s="1"/>
      <c r="AF25" s="1">
        <v>121846</v>
      </c>
      <c r="AG25" s="1"/>
      <c r="AH25" s="1">
        <v>685293</v>
      </c>
      <c r="AI25" s="1">
        <v>507175</v>
      </c>
      <c r="AJ25" s="1"/>
      <c r="AK25" s="1">
        <v>178118</v>
      </c>
      <c r="AL25" s="1"/>
      <c r="AM25" s="1">
        <v>3370206</v>
      </c>
      <c r="AN25" s="1">
        <v>0</v>
      </c>
      <c r="AO25" s="1"/>
      <c r="AP25" s="1"/>
      <c r="AQ25" s="1">
        <v>3370206</v>
      </c>
      <c r="AR25" s="1">
        <v>0</v>
      </c>
      <c r="AS25" s="1">
        <v>471501</v>
      </c>
      <c r="AT25" s="1"/>
      <c r="AU25" s="1">
        <v>2898705</v>
      </c>
      <c r="AV25" s="1">
        <v>0</v>
      </c>
    </row>
    <row r="26" spans="1:48" s="3" customFormat="1" ht="12" x14ac:dyDescent="0.2">
      <c r="A26" s="1">
        <v>20025</v>
      </c>
      <c r="B26" s="1">
        <v>0</v>
      </c>
      <c r="C26" s="1">
        <v>200595877</v>
      </c>
      <c r="D26" s="1" t="s">
        <v>122</v>
      </c>
      <c r="E26" s="1">
        <v>27</v>
      </c>
      <c r="F26" s="1">
        <v>16</v>
      </c>
      <c r="G26" s="1">
        <v>0</v>
      </c>
      <c r="H26" s="1">
        <v>1</v>
      </c>
      <c r="I26" s="1">
        <v>2021</v>
      </c>
      <c r="J26" s="1">
        <v>4</v>
      </c>
      <c r="K26" s="1" t="s">
        <v>0</v>
      </c>
      <c r="L26" s="1">
        <v>2</v>
      </c>
      <c r="M26" s="1">
        <v>30</v>
      </c>
      <c r="N26" s="1">
        <v>0</v>
      </c>
      <c r="O26" s="1">
        <v>44619.889513888891</v>
      </c>
      <c r="P26" s="1">
        <v>21449155</v>
      </c>
      <c r="Q26" s="1">
        <v>14529833</v>
      </c>
      <c r="R26" s="1">
        <v>6919322</v>
      </c>
      <c r="S26" s="1">
        <v>0</v>
      </c>
      <c r="T26" s="1">
        <v>4672023</v>
      </c>
      <c r="U26" s="1"/>
      <c r="V26" s="1">
        <v>2209183</v>
      </c>
      <c r="W26" s="1">
        <v>2462840</v>
      </c>
      <c r="X26" s="1"/>
      <c r="Y26" s="1">
        <v>298968</v>
      </c>
      <c r="Z26" s="1">
        <v>2546267</v>
      </c>
      <c r="AA26" s="1">
        <v>0</v>
      </c>
      <c r="AB26" s="1">
        <v>292</v>
      </c>
      <c r="AC26" s="1"/>
      <c r="AD26" s="1"/>
      <c r="AE26" s="1"/>
      <c r="AF26" s="1">
        <v>292</v>
      </c>
      <c r="AG26" s="1"/>
      <c r="AH26" s="1">
        <v>292</v>
      </c>
      <c r="AI26" s="1"/>
      <c r="AJ26" s="1"/>
      <c r="AK26" s="1">
        <v>292</v>
      </c>
      <c r="AL26" s="1"/>
      <c r="AM26" s="1">
        <v>2546267</v>
      </c>
      <c r="AN26" s="1">
        <v>0</v>
      </c>
      <c r="AO26" s="1"/>
      <c r="AP26" s="1"/>
      <c r="AQ26" s="1">
        <v>2546267</v>
      </c>
      <c r="AR26" s="1">
        <v>0</v>
      </c>
      <c r="AS26" s="1">
        <v>615536</v>
      </c>
      <c r="AT26" s="1"/>
      <c r="AU26" s="1">
        <v>1930731</v>
      </c>
      <c r="AV26" s="1">
        <v>0</v>
      </c>
    </row>
    <row r="27" spans="1:48" s="3" customFormat="1" ht="12" x14ac:dyDescent="0.2">
      <c r="A27" s="1">
        <v>20025</v>
      </c>
      <c r="B27" s="1">
        <v>0</v>
      </c>
      <c r="C27" s="1">
        <v>200595877</v>
      </c>
      <c r="D27" s="1" t="s">
        <v>122</v>
      </c>
      <c r="E27" s="1">
        <v>27</v>
      </c>
      <c r="F27" s="1">
        <v>16</v>
      </c>
      <c r="G27" s="1">
        <v>0</v>
      </c>
      <c r="H27" s="1">
        <v>1</v>
      </c>
      <c r="I27" s="1">
        <v>2020</v>
      </c>
      <c r="J27" s="1">
        <v>4</v>
      </c>
      <c r="K27" s="1" t="s">
        <v>0</v>
      </c>
      <c r="L27" s="1">
        <v>1</v>
      </c>
      <c r="M27" s="1">
        <v>30</v>
      </c>
      <c r="N27" s="1">
        <v>0</v>
      </c>
      <c r="O27" s="1">
        <v>44242.590937499997</v>
      </c>
      <c r="P27" s="1">
        <v>24902329.140000001</v>
      </c>
      <c r="Q27" s="1">
        <v>15060457.220000001</v>
      </c>
      <c r="R27" s="1">
        <v>9841871.9199999999</v>
      </c>
      <c r="S27" s="1">
        <v>0</v>
      </c>
      <c r="T27" s="1">
        <v>3796116.12</v>
      </c>
      <c r="U27" s="1"/>
      <c r="V27" s="1">
        <v>1972435.21</v>
      </c>
      <c r="W27" s="1">
        <v>1823680.91</v>
      </c>
      <c r="X27" s="1"/>
      <c r="Y27" s="1">
        <v>31466.37</v>
      </c>
      <c r="Z27" s="1">
        <v>6077222.1699999999</v>
      </c>
      <c r="AA27" s="1">
        <v>0</v>
      </c>
      <c r="AB27" s="1">
        <v>0.03</v>
      </c>
      <c r="AC27" s="1">
        <v>0</v>
      </c>
      <c r="AD27" s="1">
        <v>0</v>
      </c>
      <c r="AE27" s="1">
        <v>0</v>
      </c>
      <c r="AF27" s="1">
        <v>0.03</v>
      </c>
      <c r="AG27" s="1">
        <v>0</v>
      </c>
      <c r="AH27" s="1">
        <v>0.02</v>
      </c>
      <c r="AI27" s="1">
        <v>0</v>
      </c>
      <c r="AJ27" s="1">
        <v>0</v>
      </c>
      <c r="AK27" s="1">
        <v>0.02</v>
      </c>
      <c r="AL27" s="1">
        <v>0</v>
      </c>
      <c r="AM27" s="1">
        <v>6077222.1799999997</v>
      </c>
      <c r="AN27" s="1">
        <v>0</v>
      </c>
      <c r="AO27" s="1"/>
      <c r="AP27" s="1"/>
      <c r="AQ27" s="1">
        <v>6077222.1799999997</v>
      </c>
      <c r="AR27" s="1">
        <v>0</v>
      </c>
      <c r="AS27" s="1">
        <v>926296.26</v>
      </c>
      <c r="AT27" s="1">
        <v>0</v>
      </c>
      <c r="AU27" s="1">
        <v>5150925.92</v>
      </c>
      <c r="AV27" s="1">
        <v>0</v>
      </c>
    </row>
    <row r="28" spans="1:48" s="3" customFormat="1" ht="12" x14ac:dyDescent="0.2">
      <c r="A28" s="1">
        <v>20025</v>
      </c>
      <c r="B28" s="1">
        <v>0</v>
      </c>
      <c r="C28" s="1">
        <v>200595877</v>
      </c>
      <c r="D28" s="1" t="s">
        <v>122</v>
      </c>
      <c r="E28" s="1">
        <v>27</v>
      </c>
      <c r="F28" s="1">
        <v>16</v>
      </c>
      <c r="G28" s="1">
        <v>0</v>
      </c>
      <c r="H28" s="1">
        <v>1</v>
      </c>
      <c r="I28" s="1">
        <v>2019</v>
      </c>
      <c r="J28" s="1">
        <v>4</v>
      </c>
      <c r="K28" s="1" t="s">
        <v>0</v>
      </c>
      <c r="L28" s="1">
        <v>1</v>
      </c>
      <c r="M28" s="1">
        <v>30</v>
      </c>
      <c r="N28" s="1">
        <v>0</v>
      </c>
      <c r="O28" s="1">
        <v>43876.925405092596</v>
      </c>
      <c r="P28" s="1">
        <v>18343213.23</v>
      </c>
      <c r="Q28" s="1">
        <v>11314444.210000001</v>
      </c>
      <c r="R28" s="1">
        <v>7028769.0199999996</v>
      </c>
      <c r="S28" s="1">
        <v>0</v>
      </c>
      <c r="T28" s="1">
        <v>2982945.18</v>
      </c>
      <c r="U28" s="1">
        <v>0</v>
      </c>
      <c r="V28" s="1">
        <v>1230976.3500000001</v>
      </c>
      <c r="W28" s="1">
        <v>1751968.83</v>
      </c>
      <c r="X28" s="1">
        <v>0</v>
      </c>
      <c r="Y28" s="1">
        <v>50667.19</v>
      </c>
      <c r="Z28" s="1">
        <v>4096491.03</v>
      </c>
      <c r="AA28" s="1">
        <v>0</v>
      </c>
      <c r="AB28" s="1">
        <v>17.86</v>
      </c>
      <c r="AC28" s="1">
        <v>15.6</v>
      </c>
      <c r="AD28" s="1">
        <v>0</v>
      </c>
      <c r="AE28" s="1">
        <v>0</v>
      </c>
      <c r="AF28" s="1">
        <v>2.2599999999999998</v>
      </c>
      <c r="AG28" s="1">
        <v>0</v>
      </c>
      <c r="AH28" s="1">
        <v>0.01</v>
      </c>
      <c r="AI28" s="1">
        <v>0</v>
      </c>
      <c r="AJ28" s="1">
        <v>0</v>
      </c>
      <c r="AK28" s="1">
        <v>0.01</v>
      </c>
      <c r="AL28" s="1">
        <v>0</v>
      </c>
      <c r="AM28" s="1">
        <v>4096508.88</v>
      </c>
      <c r="AN28" s="1">
        <v>0</v>
      </c>
      <c r="AO28" s="1">
        <v>0</v>
      </c>
      <c r="AP28" s="1">
        <v>0</v>
      </c>
      <c r="AQ28" s="1">
        <v>4096508.88</v>
      </c>
      <c r="AR28" s="1">
        <v>0</v>
      </c>
      <c r="AS28" s="1">
        <v>542986.91</v>
      </c>
      <c r="AT28" s="1">
        <v>0</v>
      </c>
      <c r="AU28" s="1">
        <v>3553521.97</v>
      </c>
      <c r="AV28" s="1">
        <v>0</v>
      </c>
    </row>
    <row r="29" spans="1:48" s="3" customFormat="1" ht="12" x14ac:dyDescent="0.2">
      <c r="A29" s="1">
        <v>20025</v>
      </c>
      <c r="B29" s="1">
        <v>0</v>
      </c>
      <c r="C29" s="7">
        <v>200595877</v>
      </c>
      <c r="D29" s="1" t="s">
        <v>122</v>
      </c>
      <c r="E29" s="1">
        <v>27</v>
      </c>
      <c r="F29" s="1">
        <v>16</v>
      </c>
      <c r="G29" s="1">
        <v>0</v>
      </c>
      <c r="H29" s="1">
        <v>1</v>
      </c>
      <c r="I29" s="1">
        <v>2018</v>
      </c>
      <c r="J29" s="1">
        <v>4</v>
      </c>
      <c r="K29" s="1" t="s">
        <v>0</v>
      </c>
      <c r="L29" s="1">
        <v>1</v>
      </c>
      <c r="M29" s="1">
        <v>30</v>
      </c>
      <c r="N29" s="1">
        <v>0</v>
      </c>
      <c r="O29" s="1">
        <v>43507.675173611111</v>
      </c>
      <c r="P29" s="1">
        <v>10951388</v>
      </c>
      <c r="Q29" s="1">
        <v>8209637</v>
      </c>
      <c r="R29" s="2">
        <v>2741751</v>
      </c>
      <c r="S29" s="2">
        <v>0</v>
      </c>
      <c r="T29" s="1">
        <v>2503369</v>
      </c>
      <c r="U29" s="1">
        <v>0</v>
      </c>
      <c r="V29" s="1">
        <v>915543</v>
      </c>
      <c r="W29" s="1">
        <v>1587826</v>
      </c>
      <c r="X29" s="1">
        <v>0</v>
      </c>
      <c r="Y29" s="1">
        <v>36588</v>
      </c>
      <c r="Z29" s="1">
        <v>274970</v>
      </c>
      <c r="AA29" s="1">
        <v>0</v>
      </c>
      <c r="AB29" s="1">
        <v>13</v>
      </c>
      <c r="AC29" s="1">
        <v>11</v>
      </c>
      <c r="AD29" s="1">
        <v>2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274983</v>
      </c>
      <c r="AN29" s="1">
        <v>0</v>
      </c>
      <c r="AO29" s="1">
        <v>0</v>
      </c>
      <c r="AP29" s="1">
        <v>0</v>
      </c>
      <c r="AQ29" s="1">
        <v>274983</v>
      </c>
      <c r="AR29" s="1">
        <v>0</v>
      </c>
      <c r="AS29" s="1">
        <v>73433</v>
      </c>
      <c r="AT29" s="1">
        <v>0</v>
      </c>
      <c r="AU29" s="1">
        <v>201550</v>
      </c>
      <c r="AV29" s="1">
        <v>0</v>
      </c>
    </row>
    <row r="30" spans="1:48" s="3" customFormat="1" ht="12" x14ac:dyDescent="0.2">
      <c r="A30" s="1">
        <v>20025</v>
      </c>
      <c r="B30" s="1">
        <v>0</v>
      </c>
      <c r="C30" s="1">
        <v>200002854</v>
      </c>
      <c r="D30" s="1" t="s">
        <v>124</v>
      </c>
      <c r="E30" s="1">
        <v>12</v>
      </c>
      <c r="F30" s="1">
        <v>1</v>
      </c>
      <c r="G30" s="1">
        <v>0</v>
      </c>
      <c r="H30" s="1">
        <v>1</v>
      </c>
      <c r="I30" s="1">
        <v>2021</v>
      </c>
      <c r="J30" s="1">
        <v>4</v>
      </c>
      <c r="K30" s="1" t="s">
        <v>0</v>
      </c>
      <c r="L30" s="1">
        <v>2</v>
      </c>
      <c r="M30" s="1">
        <v>30</v>
      </c>
      <c r="N30" s="1">
        <v>0</v>
      </c>
      <c r="O30" s="1">
        <v>44691.537118055552</v>
      </c>
      <c r="P30" s="1">
        <v>34264573</v>
      </c>
      <c r="Q30" s="1">
        <v>26010021</v>
      </c>
      <c r="R30" s="1">
        <v>8254552</v>
      </c>
      <c r="S30" s="1">
        <v>0</v>
      </c>
      <c r="T30" s="1">
        <v>6417400</v>
      </c>
      <c r="U30" s="1">
        <v>435825</v>
      </c>
      <c r="V30" s="1">
        <v>2841215</v>
      </c>
      <c r="W30" s="1">
        <v>3140360</v>
      </c>
      <c r="X30" s="1"/>
      <c r="Y30" s="1">
        <v>353175</v>
      </c>
      <c r="Z30" s="1">
        <v>2190327</v>
      </c>
      <c r="AA30" s="1">
        <v>0</v>
      </c>
      <c r="AB30" s="1">
        <v>5927</v>
      </c>
      <c r="AC30" s="1"/>
      <c r="AD30" s="1"/>
      <c r="AE30" s="1"/>
      <c r="AF30" s="1">
        <v>0</v>
      </c>
      <c r="AG30" s="1">
        <v>5927</v>
      </c>
      <c r="AH30" s="1">
        <v>0</v>
      </c>
      <c r="AI30" s="1">
        <v>0</v>
      </c>
      <c r="AJ30" s="1"/>
      <c r="AK30" s="1">
        <v>0</v>
      </c>
      <c r="AL30" s="1">
        <v>0</v>
      </c>
      <c r="AM30" s="1">
        <v>2196254</v>
      </c>
      <c r="AN30" s="1">
        <v>0</v>
      </c>
      <c r="AO30" s="1"/>
      <c r="AP30" s="1"/>
      <c r="AQ30" s="1">
        <v>2196254</v>
      </c>
      <c r="AR30" s="1">
        <v>0</v>
      </c>
      <c r="AS30" s="1">
        <v>504543</v>
      </c>
      <c r="AT30" s="1"/>
      <c r="AU30" s="1">
        <v>1691711</v>
      </c>
      <c r="AV30" s="1">
        <v>0</v>
      </c>
    </row>
    <row r="31" spans="1:48" s="3" customFormat="1" ht="12" x14ac:dyDescent="0.2">
      <c r="A31" s="1">
        <v>20025</v>
      </c>
      <c r="B31" s="1">
        <v>0</v>
      </c>
      <c r="C31" s="1">
        <v>200002854</v>
      </c>
      <c r="D31" s="1" t="s">
        <v>124</v>
      </c>
      <c r="E31" s="1">
        <v>12</v>
      </c>
      <c r="F31" s="1">
        <v>1</v>
      </c>
      <c r="G31" s="1">
        <v>0</v>
      </c>
      <c r="H31" s="1">
        <v>1</v>
      </c>
      <c r="I31" s="1">
        <v>2020</v>
      </c>
      <c r="J31" s="1">
        <v>4</v>
      </c>
      <c r="K31" s="1" t="s">
        <v>0</v>
      </c>
      <c r="L31" s="1">
        <v>2</v>
      </c>
      <c r="M31" s="1">
        <v>30</v>
      </c>
      <c r="N31" s="1">
        <v>0</v>
      </c>
      <c r="O31" s="1">
        <v>44303.410960648151</v>
      </c>
      <c r="P31" s="1">
        <v>37609264</v>
      </c>
      <c r="Q31" s="1">
        <v>30775773</v>
      </c>
      <c r="R31" s="1">
        <v>6833491</v>
      </c>
      <c r="S31" s="1">
        <v>0</v>
      </c>
      <c r="T31" s="1">
        <v>7436637</v>
      </c>
      <c r="U31" s="1">
        <v>957719</v>
      </c>
      <c r="V31" s="1">
        <v>3652343</v>
      </c>
      <c r="W31" s="1">
        <v>2826575</v>
      </c>
      <c r="X31" s="1"/>
      <c r="Y31" s="1">
        <v>2844687</v>
      </c>
      <c r="Z31" s="1">
        <v>2241541</v>
      </c>
      <c r="AA31" s="1">
        <v>0</v>
      </c>
      <c r="AB31" s="1">
        <v>45216</v>
      </c>
      <c r="AC31" s="1">
        <v>647</v>
      </c>
      <c r="AD31" s="1">
        <v>24113</v>
      </c>
      <c r="AE31" s="1"/>
      <c r="AF31" s="1">
        <v>15939</v>
      </c>
      <c r="AG31" s="1">
        <v>4517</v>
      </c>
      <c r="AH31" s="1">
        <v>2136</v>
      </c>
      <c r="AI31" s="1"/>
      <c r="AJ31" s="1"/>
      <c r="AK31" s="1"/>
      <c r="AL31" s="1">
        <v>2136</v>
      </c>
      <c r="AM31" s="1">
        <v>2284621</v>
      </c>
      <c r="AN31" s="1">
        <v>0</v>
      </c>
      <c r="AO31" s="1"/>
      <c r="AP31" s="1"/>
      <c r="AQ31" s="1">
        <v>2284621</v>
      </c>
      <c r="AR31" s="1">
        <v>0</v>
      </c>
      <c r="AS31" s="1">
        <v>486680</v>
      </c>
      <c r="AT31" s="1"/>
      <c r="AU31" s="1">
        <v>1797941</v>
      </c>
      <c r="AV31" s="1">
        <v>0</v>
      </c>
    </row>
    <row r="32" spans="1:48" s="3" customFormat="1" ht="12" x14ac:dyDescent="0.2">
      <c r="A32" s="1">
        <v>20025</v>
      </c>
      <c r="B32" s="1">
        <v>0</v>
      </c>
      <c r="C32" s="1">
        <v>200002854</v>
      </c>
      <c r="D32" s="1" t="s">
        <v>124</v>
      </c>
      <c r="E32" s="1">
        <v>12</v>
      </c>
      <c r="F32" s="1">
        <v>1</v>
      </c>
      <c r="G32" s="1">
        <v>0</v>
      </c>
      <c r="H32" s="1">
        <v>1</v>
      </c>
      <c r="I32" s="1">
        <v>2019</v>
      </c>
      <c r="J32" s="1">
        <v>4</v>
      </c>
      <c r="K32" s="1" t="s">
        <v>0</v>
      </c>
      <c r="L32" s="1">
        <v>2</v>
      </c>
      <c r="M32" s="1">
        <v>30</v>
      </c>
      <c r="N32" s="1">
        <v>0</v>
      </c>
      <c r="O32" s="1">
        <v>44013.629652777781</v>
      </c>
      <c r="P32" s="1">
        <v>47743058</v>
      </c>
      <c r="Q32" s="1">
        <v>35086439</v>
      </c>
      <c r="R32" s="1">
        <v>12656619</v>
      </c>
      <c r="S32" s="1">
        <v>0</v>
      </c>
      <c r="T32" s="1">
        <v>6835704</v>
      </c>
      <c r="U32" s="1">
        <v>387694</v>
      </c>
      <c r="V32" s="1">
        <v>3459898</v>
      </c>
      <c r="W32" s="1">
        <v>2988112</v>
      </c>
      <c r="X32" s="1"/>
      <c r="Y32" s="1">
        <v>1333618</v>
      </c>
      <c r="Z32" s="1">
        <v>7154533</v>
      </c>
      <c r="AA32" s="1">
        <v>0</v>
      </c>
      <c r="AB32" s="1">
        <v>15411</v>
      </c>
      <c r="AC32" s="1">
        <v>280</v>
      </c>
      <c r="AD32" s="1">
        <v>11458</v>
      </c>
      <c r="AE32" s="1"/>
      <c r="AF32" s="1">
        <v>859</v>
      </c>
      <c r="AG32" s="1">
        <v>2814</v>
      </c>
      <c r="AH32" s="1">
        <v>0</v>
      </c>
      <c r="AI32" s="1"/>
      <c r="AJ32" s="1"/>
      <c r="AK32" s="1"/>
      <c r="AL32" s="1"/>
      <c r="AM32" s="1">
        <v>7169944</v>
      </c>
      <c r="AN32" s="1">
        <v>0</v>
      </c>
      <c r="AO32" s="1"/>
      <c r="AP32" s="1"/>
      <c r="AQ32" s="1">
        <v>7169944</v>
      </c>
      <c r="AR32" s="1">
        <v>0</v>
      </c>
      <c r="AS32" s="1">
        <v>915513</v>
      </c>
      <c r="AT32" s="1"/>
      <c r="AU32" s="1">
        <v>6254431</v>
      </c>
      <c r="AV32" s="1">
        <v>0</v>
      </c>
    </row>
    <row r="33" spans="1:48" s="3" customFormat="1" ht="12" x14ac:dyDescent="0.2">
      <c r="A33" s="1">
        <v>20025</v>
      </c>
      <c r="B33" s="1">
        <v>0</v>
      </c>
      <c r="C33" s="7">
        <v>200002854</v>
      </c>
      <c r="D33" s="1" t="s">
        <v>124</v>
      </c>
      <c r="E33" s="1">
        <v>12</v>
      </c>
      <c r="F33" s="1">
        <v>1</v>
      </c>
      <c r="G33" s="1">
        <v>0</v>
      </c>
      <c r="H33" s="1">
        <v>1</v>
      </c>
      <c r="I33" s="1">
        <v>2018</v>
      </c>
      <c r="J33" s="1">
        <v>4</v>
      </c>
      <c r="K33" s="1" t="s">
        <v>0</v>
      </c>
      <c r="L33" s="1">
        <v>2</v>
      </c>
      <c r="M33" s="1">
        <v>30</v>
      </c>
      <c r="N33" s="1">
        <v>0</v>
      </c>
      <c r="O33" s="1">
        <v>43550.780243055553</v>
      </c>
      <c r="P33" s="1">
        <v>77632363</v>
      </c>
      <c r="Q33" s="1">
        <v>74011850</v>
      </c>
      <c r="R33" s="2">
        <v>3620513</v>
      </c>
      <c r="S33" s="2">
        <v>0</v>
      </c>
      <c r="T33" s="1">
        <v>2911375</v>
      </c>
      <c r="U33" s="1">
        <v>157304</v>
      </c>
      <c r="V33" s="1">
        <v>1876806</v>
      </c>
      <c r="W33" s="1">
        <v>877265</v>
      </c>
      <c r="X33" s="1"/>
      <c r="Y33" s="1">
        <v>2720282</v>
      </c>
      <c r="Z33" s="1">
        <v>3429420</v>
      </c>
      <c r="AA33" s="1">
        <v>0</v>
      </c>
      <c r="AB33" s="1">
        <v>3903</v>
      </c>
      <c r="AC33" s="1">
        <v>161</v>
      </c>
      <c r="AD33" s="1"/>
      <c r="AE33" s="1"/>
      <c r="AF33" s="1">
        <v>3537</v>
      </c>
      <c r="AG33" s="1">
        <v>205</v>
      </c>
      <c r="AH33" s="1">
        <v>3954</v>
      </c>
      <c r="AI33" s="1">
        <v>0</v>
      </c>
      <c r="AJ33" s="1"/>
      <c r="AK33" s="1">
        <v>2661</v>
      </c>
      <c r="AL33" s="1">
        <v>1293</v>
      </c>
      <c r="AM33" s="1">
        <v>3429369</v>
      </c>
      <c r="AN33" s="1">
        <v>0</v>
      </c>
      <c r="AO33" s="1"/>
      <c r="AP33" s="1"/>
      <c r="AQ33" s="1">
        <v>3429369</v>
      </c>
      <c r="AR33" s="1">
        <v>0</v>
      </c>
      <c r="AS33" s="1">
        <v>56482</v>
      </c>
      <c r="AT33" s="1">
        <v>498846</v>
      </c>
      <c r="AU33" s="1">
        <v>2874041</v>
      </c>
      <c r="AV33" s="1">
        <v>0</v>
      </c>
    </row>
    <row r="34" spans="1:48" s="3" customFormat="1" ht="12" x14ac:dyDescent="0.2">
      <c r="A34" s="1">
        <v>20025</v>
      </c>
      <c r="B34" s="1">
        <v>0</v>
      </c>
      <c r="C34" s="1">
        <v>200049218</v>
      </c>
      <c r="D34" s="1" t="s">
        <v>125</v>
      </c>
      <c r="E34" s="1">
        <v>14</v>
      </c>
      <c r="F34" s="1">
        <v>1</v>
      </c>
      <c r="G34" s="1">
        <v>0</v>
      </c>
      <c r="H34" s="1">
        <v>1</v>
      </c>
      <c r="I34" s="1">
        <v>2021</v>
      </c>
      <c r="J34" s="1">
        <v>4</v>
      </c>
      <c r="K34" s="1" t="s">
        <v>0</v>
      </c>
      <c r="L34" s="1">
        <v>2</v>
      </c>
      <c r="M34" s="1">
        <v>30</v>
      </c>
      <c r="N34" s="1">
        <v>0</v>
      </c>
      <c r="O34" s="1">
        <v>44876.736701388887</v>
      </c>
      <c r="P34" s="1">
        <v>1511638</v>
      </c>
      <c r="Q34" s="1">
        <v>178186</v>
      </c>
      <c r="R34" s="1">
        <v>1333452</v>
      </c>
      <c r="S34" s="1">
        <v>0</v>
      </c>
      <c r="T34" s="1">
        <v>1496113</v>
      </c>
      <c r="U34" s="1"/>
      <c r="V34" s="1">
        <v>742966</v>
      </c>
      <c r="W34" s="1">
        <v>753147</v>
      </c>
      <c r="X34" s="1"/>
      <c r="Y34" s="1">
        <v>13980</v>
      </c>
      <c r="Z34" s="1">
        <v>0</v>
      </c>
      <c r="AA34" s="1">
        <v>148681</v>
      </c>
      <c r="AB34" s="1">
        <v>120696</v>
      </c>
      <c r="AC34" s="1">
        <v>120696</v>
      </c>
      <c r="AD34" s="1"/>
      <c r="AE34" s="1"/>
      <c r="AF34" s="1"/>
      <c r="AG34" s="1"/>
      <c r="AH34" s="1"/>
      <c r="AI34" s="1"/>
      <c r="AJ34" s="1"/>
      <c r="AK34" s="1"/>
      <c r="AL34" s="1"/>
      <c r="AM34" s="1">
        <v>0</v>
      </c>
      <c r="AN34" s="1">
        <v>27985</v>
      </c>
      <c r="AO34" s="1"/>
      <c r="AP34" s="1"/>
      <c r="AQ34" s="1">
        <v>0</v>
      </c>
      <c r="AR34" s="1">
        <v>27985</v>
      </c>
      <c r="AS34" s="1">
        <v>0</v>
      </c>
      <c r="AT34" s="1">
        <v>45926</v>
      </c>
      <c r="AU34" s="1">
        <v>-73911</v>
      </c>
      <c r="AV34" s="1">
        <v>73911</v>
      </c>
    </row>
    <row r="35" spans="1:48" s="3" customFormat="1" ht="12" x14ac:dyDescent="0.2">
      <c r="A35" s="1">
        <v>20025</v>
      </c>
      <c r="B35" s="1">
        <v>0</v>
      </c>
      <c r="C35" s="1">
        <v>200049218</v>
      </c>
      <c r="D35" s="1" t="s">
        <v>125</v>
      </c>
      <c r="E35" s="1">
        <v>14</v>
      </c>
      <c r="F35" s="1">
        <v>1</v>
      </c>
      <c r="G35" s="1">
        <v>0</v>
      </c>
      <c r="H35" s="1">
        <v>1</v>
      </c>
      <c r="I35" s="1">
        <v>2020</v>
      </c>
      <c r="J35" s="1">
        <v>4</v>
      </c>
      <c r="K35" s="1" t="s">
        <v>0</v>
      </c>
      <c r="L35" s="1">
        <v>1</v>
      </c>
      <c r="M35" s="1">
        <v>30</v>
      </c>
      <c r="N35" s="1">
        <v>0</v>
      </c>
      <c r="O35" s="1">
        <v>44244.66846064815</v>
      </c>
      <c r="P35" s="1">
        <v>1389691</v>
      </c>
      <c r="Q35" s="1">
        <v>478186</v>
      </c>
      <c r="R35" s="1">
        <v>911505</v>
      </c>
      <c r="S35" s="1">
        <v>0</v>
      </c>
      <c r="T35" s="1">
        <v>970564</v>
      </c>
      <c r="U35" s="1"/>
      <c r="V35" s="1">
        <v>565954</v>
      </c>
      <c r="W35" s="1">
        <v>404610</v>
      </c>
      <c r="X35" s="1"/>
      <c r="Y35" s="1">
        <v>2564</v>
      </c>
      <c r="Z35" s="1">
        <v>0</v>
      </c>
      <c r="AA35" s="1">
        <v>56495</v>
      </c>
      <c r="AB35" s="1">
        <v>120696</v>
      </c>
      <c r="AC35" s="1">
        <v>120696</v>
      </c>
      <c r="AD35" s="1"/>
      <c r="AE35" s="1"/>
      <c r="AF35" s="1"/>
      <c r="AG35" s="1"/>
      <c r="AH35" s="1"/>
      <c r="AI35" s="1"/>
      <c r="AJ35" s="1"/>
      <c r="AK35" s="1"/>
      <c r="AL35" s="1"/>
      <c r="AM35" s="1">
        <v>64201</v>
      </c>
      <c r="AN35" s="1">
        <v>0</v>
      </c>
      <c r="AO35" s="1"/>
      <c r="AP35" s="1"/>
      <c r="AQ35" s="1">
        <v>64201</v>
      </c>
      <c r="AR35" s="1">
        <v>0</v>
      </c>
      <c r="AS35" s="1">
        <v>1869</v>
      </c>
      <c r="AT35" s="1">
        <v>45926</v>
      </c>
      <c r="AU35" s="1">
        <v>16406</v>
      </c>
      <c r="AV35" s="1">
        <v>0</v>
      </c>
    </row>
    <row r="36" spans="1:48" s="3" customFormat="1" ht="12" x14ac:dyDescent="0.2">
      <c r="A36" s="1">
        <v>20025</v>
      </c>
      <c r="B36" s="1">
        <v>0</v>
      </c>
      <c r="C36" s="1">
        <v>200049218</v>
      </c>
      <c r="D36" s="1" t="s">
        <v>125</v>
      </c>
      <c r="E36" s="1">
        <v>14</v>
      </c>
      <c r="F36" s="1">
        <v>1</v>
      </c>
      <c r="G36" s="1">
        <v>0</v>
      </c>
      <c r="H36" s="1">
        <v>1</v>
      </c>
      <c r="I36" s="1">
        <v>2019</v>
      </c>
      <c r="J36" s="1">
        <v>4</v>
      </c>
      <c r="K36" s="1" t="s">
        <v>0</v>
      </c>
      <c r="L36" s="1">
        <v>2</v>
      </c>
      <c r="M36" s="1">
        <v>30</v>
      </c>
      <c r="N36" s="1">
        <v>0</v>
      </c>
      <c r="O36" s="1">
        <v>44081.748854166668</v>
      </c>
      <c r="P36" s="1">
        <v>969943</v>
      </c>
      <c r="Q36" s="1">
        <v>173918</v>
      </c>
      <c r="R36" s="1">
        <v>796025</v>
      </c>
      <c r="S36" s="1">
        <v>0</v>
      </c>
      <c r="T36" s="1">
        <v>964599</v>
      </c>
      <c r="U36" s="1"/>
      <c r="V36" s="1">
        <v>504851</v>
      </c>
      <c r="W36" s="1">
        <v>459748</v>
      </c>
      <c r="X36" s="1"/>
      <c r="Y36" s="1">
        <v>8</v>
      </c>
      <c r="Z36" s="1">
        <v>0</v>
      </c>
      <c r="AA36" s="1">
        <v>168566</v>
      </c>
      <c r="AB36" s="1">
        <v>2302</v>
      </c>
      <c r="AC36" s="1">
        <v>2302</v>
      </c>
      <c r="AD36" s="1"/>
      <c r="AE36" s="1"/>
      <c r="AF36" s="1"/>
      <c r="AG36" s="1"/>
      <c r="AH36" s="1"/>
      <c r="AI36" s="1"/>
      <c r="AJ36" s="1"/>
      <c r="AK36" s="1"/>
      <c r="AL36" s="1"/>
      <c r="AM36" s="1">
        <v>0</v>
      </c>
      <c r="AN36" s="1">
        <v>166264</v>
      </c>
      <c r="AO36" s="1"/>
      <c r="AP36" s="1"/>
      <c r="AQ36" s="1">
        <v>0</v>
      </c>
      <c r="AR36" s="1">
        <v>166264</v>
      </c>
      <c r="AS36" s="1"/>
      <c r="AT36" s="1">
        <v>38798</v>
      </c>
      <c r="AU36" s="1">
        <v>-205062</v>
      </c>
      <c r="AV36" s="1">
        <v>205062</v>
      </c>
    </row>
    <row r="37" spans="1:48" s="3" customFormat="1" ht="12" x14ac:dyDescent="0.2">
      <c r="A37" s="1">
        <v>20025</v>
      </c>
      <c r="B37" s="1">
        <v>0</v>
      </c>
      <c r="C37" s="7">
        <v>200049218</v>
      </c>
      <c r="D37" s="1" t="s">
        <v>125</v>
      </c>
      <c r="E37" s="1">
        <v>14</v>
      </c>
      <c r="F37" s="1">
        <v>1</v>
      </c>
      <c r="G37" s="1">
        <v>0</v>
      </c>
      <c r="H37" s="1">
        <v>1</v>
      </c>
      <c r="I37" s="1">
        <v>2018</v>
      </c>
      <c r="J37" s="1">
        <v>4</v>
      </c>
      <c r="K37" s="1" t="s">
        <v>0</v>
      </c>
      <c r="L37" s="1">
        <v>1</v>
      </c>
      <c r="M37" s="1">
        <v>30</v>
      </c>
      <c r="N37" s="1">
        <v>0</v>
      </c>
      <c r="O37" s="1">
        <v>43510.724039351851</v>
      </c>
      <c r="P37" s="1">
        <v>734968</v>
      </c>
      <c r="Q37" s="1">
        <v>91381</v>
      </c>
      <c r="R37" s="2">
        <v>643587</v>
      </c>
      <c r="S37" s="2">
        <v>0</v>
      </c>
      <c r="T37" s="1">
        <v>586259</v>
      </c>
      <c r="U37" s="1"/>
      <c r="V37" s="1">
        <v>384540</v>
      </c>
      <c r="W37" s="1">
        <v>201719</v>
      </c>
      <c r="X37" s="1"/>
      <c r="Y37" s="1">
        <v>4532</v>
      </c>
      <c r="Z37" s="1">
        <v>61860</v>
      </c>
      <c r="AA37" s="1">
        <v>0</v>
      </c>
      <c r="AB37" s="1">
        <v>86640</v>
      </c>
      <c r="AC37" s="1">
        <v>86640</v>
      </c>
      <c r="AD37" s="1"/>
      <c r="AE37" s="1"/>
      <c r="AF37" s="1"/>
      <c r="AG37" s="1"/>
      <c r="AH37" s="1"/>
      <c r="AI37" s="1"/>
      <c r="AJ37" s="1"/>
      <c r="AK37" s="1"/>
      <c r="AL37" s="1"/>
      <c r="AM37" s="1">
        <v>148500</v>
      </c>
      <c r="AN37" s="1">
        <v>0</v>
      </c>
      <c r="AO37" s="1"/>
      <c r="AP37" s="1"/>
      <c r="AQ37" s="1">
        <v>148500</v>
      </c>
      <c r="AR37" s="1">
        <v>0</v>
      </c>
      <c r="AS37" s="1"/>
      <c r="AT37" s="1">
        <v>36975</v>
      </c>
      <c r="AU37" s="1">
        <v>111525</v>
      </c>
      <c r="AV37" s="1">
        <v>0</v>
      </c>
    </row>
    <row r="38" spans="1:48" s="3" customFormat="1" ht="12" x14ac:dyDescent="0.2">
      <c r="A38" s="1">
        <v>20025</v>
      </c>
      <c r="B38" s="1">
        <v>0</v>
      </c>
      <c r="C38" s="1">
        <v>200049541</v>
      </c>
      <c r="D38" s="1" t="s">
        <v>126</v>
      </c>
      <c r="E38" s="1">
        <v>14</v>
      </c>
      <c r="F38" s="1">
        <v>1</v>
      </c>
      <c r="G38" s="1">
        <v>0</v>
      </c>
      <c r="H38" s="1">
        <v>1</v>
      </c>
      <c r="I38" s="1">
        <v>2021</v>
      </c>
      <c r="J38" s="1">
        <v>4</v>
      </c>
      <c r="K38" s="1" t="s">
        <v>0</v>
      </c>
      <c r="L38" s="1">
        <v>1</v>
      </c>
      <c r="M38" s="1">
        <v>30</v>
      </c>
      <c r="N38" s="1">
        <v>0</v>
      </c>
      <c r="O38" s="1">
        <v>44607.858472222222</v>
      </c>
      <c r="P38" s="1">
        <v>14097876</v>
      </c>
      <c r="Q38" s="1">
        <v>11694909</v>
      </c>
      <c r="R38" s="1">
        <v>2402967</v>
      </c>
      <c r="S38" s="1">
        <v>0</v>
      </c>
      <c r="T38" s="1">
        <v>1943755</v>
      </c>
      <c r="U38" s="1">
        <v>96054</v>
      </c>
      <c r="V38" s="1">
        <v>1178117</v>
      </c>
      <c r="W38" s="1">
        <v>669584</v>
      </c>
      <c r="X38" s="1"/>
      <c r="Y38" s="1">
        <v>614616</v>
      </c>
      <c r="Z38" s="1">
        <v>1073828</v>
      </c>
      <c r="AA38" s="1">
        <v>0</v>
      </c>
      <c r="AB38" s="1">
        <v>5694</v>
      </c>
      <c r="AC38" s="1"/>
      <c r="AD38" s="1"/>
      <c r="AE38" s="1"/>
      <c r="AF38" s="1">
        <v>5694</v>
      </c>
      <c r="AG38" s="1"/>
      <c r="AH38" s="1">
        <v>4260</v>
      </c>
      <c r="AI38" s="1"/>
      <c r="AJ38" s="1"/>
      <c r="AK38" s="1">
        <v>4260</v>
      </c>
      <c r="AL38" s="1"/>
      <c r="AM38" s="1">
        <v>1075262</v>
      </c>
      <c r="AN38" s="1">
        <v>0</v>
      </c>
      <c r="AO38" s="1"/>
      <c r="AP38" s="1"/>
      <c r="AQ38" s="1">
        <v>1075262</v>
      </c>
      <c r="AR38" s="1">
        <v>0</v>
      </c>
      <c r="AS38" s="1">
        <v>189353</v>
      </c>
      <c r="AT38" s="1"/>
      <c r="AU38" s="1">
        <v>885909</v>
      </c>
      <c r="AV38" s="1">
        <v>0</v>
      </c>
    </row>
    <row r="39" spans="1:48" s="3" customFormat="1" ht="12" x14ac:dyDescent="0.2">
      <c r="A39" s="1">
        <v>20025</v>
      </c>
      <c r="B39" s="1">
        <v>0</v>
      </c>
      <c r="C39" s="1">
        <v>200049541</v>
      </c>
      <c r="D39" s="1" t="s">
        <v>126</v>
      </c>
      <c r="E39" s="1">
        <v>14</v>
      </c>
      <c r="F39" s="1">
        <v>1</v>
      </c>
      <c r="G39" s="1">
        <v>0</v>
      </c>
      <c r="H39" s="1">
        <v>1</v>
      </c>
      <c r="I39" s="1">
        <v>2020</v>
      </c>
      <c r="J39" s="1">
        <v>4</v>
      </c>
      <c r="K39" s="1" t="s">
        <v>0</v>
      </c>
      <c r="L39" s="1">
        <v>2</v>
      </c>
      <c r="M39" s="1">
        <v>30</v>
      </c>
      <c r="N39" s="1">
        <v>0</v>
      </c>
      <c r="O39" s="1">
        <v>44323.527650462966</v>
      </c>
      <c r="P39" s="1">
        <v>14166948</v>
      </c>
      <c r="Q39" s="1">
        <v>10838421</v>
      </c>
      <c r="R39" s="1">
        <v>3328527</v>
      </c>
      <c r="S39" s="1">
        <v>0</v>
      </c>
      <c r="T39" s="1">
        <v>1943300</v>
      </c>
      <c r="U39" s="1">
        <v>58538</v>
      </c>
      <c r="V39" s="1">
        <v>1061533</v>
      </c>
      <c r="W39" s="1">
        <v>823229</v>
      </c>
      <c r="X39" s="1"/>
      <c r="Y39" s="1">
        <v>333112</v>
      </c>
      <c r="Z39" s="1">
        <v>1718339</v>
      </c>
      <c r="AA39" s="1">
        <v>0</v>
      </c>
      <c r="AB39" s="1">
        <v>12426</v>
      </c>
      <c r="AC39" s="1">
        <v>174</v>
      </c>
      <c r="AD39" s="1"/>
      <c r="AE39" s="1"/>
      <c r="AF39" s="1">
        <v>12252</v>
      </c>
      <c r="AG39" s="1"/>
      <c r="AH39" s="1">
        <v>587</v>
      </c>
      <c r="AI39" s="1"/>
      <c r="AJ39" s="1"/>
      <c r="AK39" s="1">
        <v>587</v>
      </c>
      <c r="AL39" s="1"/>
      <c r="AM39" s="1">
        <v>1730178</v>
      </c>
      <c r="AN39" s="1">
        <v>0</v>
      </c>
      <c r="AO39" s="1"/>
      <c r="AP39" s="1"/>
      <c r="AQ39" s="1">
        <v>1730178</v>
      </c>
      <c r="AR39" s="1">
        <v>0</v>
      </c>
      <c r="AS39" s="1">
        <v>324788</v>
      </c>
      <c r="AT39" s="1"/>
      <c r="AU39" s="1">
        <v>1405390</v>
      </c>
      <c r="AV39" s="1">
        <v>0</v>
      </c>
    </row>
    <row r="40" spans="1:48" s="3" customFormat="1" ht="12" x14ac:dyDescent="0.2">
      <c r="A40" s="1">
        <v>20025</v>
      </c>
      <c r="B40" s="1">
        <v>0</v>
      </c>
      <c r="C40" s="1">
        <v>200049541</v>
      </c>
      <c r="D40" s="1" t="s">
        <v>126</v>
      </c>
      <c r="E40" s="1">
        <v>14</v>
      </c>
      <c r="F40" s="1">
        <v>1</v>
      </c>
      <c r="G40" s="1">
        <v>0</v>
      </c>
      <c r="H40" s="1">
        <v>1</v>
      </c>
      <c r="I40" s="1">
        <v>2019</v>
      </c>
      <c r="J40" s="1">
        <v>4</v>
      </c>
      <c r="K40" s="1" t="s">
        <v>0</v>
      </c>
      <c r="L40" s="1">
        <v>1</v>
      </c>
      <c r="M40" s="1">
        <v>30</v>
      </c>
      <c r="N40" s="1">
        <v>0</v>
      </c>
      <c r="O40" s="1">
        <v>43875.672430555554</v>
      </c>
      <c r="P40" s="1">
        <v>8165257</v>
      </c>
      <c r="Q40" s="1">
        <v>6408279</v>
      </c>
      <c r="R40" s="1">
        <v>1756978</v>
      </c>
      <c r="S40" s="1">
        <v>0</v>
      </c>
      <c r="T40" s="1">
        <v>1689420</v>
      </c>
      <c r="U40" s="1">
        <v>49925</v>
      </c>
      <c r="V40" s="1">
        <v>990640</v>
      </c>
      <c r="W40" s="1">
        <v>648855</v>
      </c>
      <c r="X40" s="1"/>
      <c r="Y40" s="1">
        <v>684899</v>
      </c>
      <c r="Z40" s="1">
        <v>752457</v>
      </c>
      <c r="AA40" s="1">
        <v>0</v>
      </c>
      <c r="AB40" s="1">
        <v>6518</v>
      </c>
      <c r="AC40" s="1">
        <v>75</v>
      </c>
      <c r="AD40" s="1"/>
      <c r="AE40" s="1"/>
      <c r="AF40" s="1">
        <v>4564</v>
      </c>
      <c r="AG40" s="1">
        <v>1879</v>
      </c>
      <c r="AH40" s="1">
        <v>364</v>
      </c>
      <c r="AI40" s="1"/>
      <c r="AJ40" s="1"/>
      <c r="AK40" s="1">
        <v>364</v>
      </c>
      <c r="AL40" s="1"/>
      <c r="AM40" s="1">
        <v>758611</v>
      </c>
      <c r="AN40" s="1">
        <v>0</v>
      </c>
      <c r="AO40" s="1"/>
      <c r="AP40" s="1"/>
      <c r="AQ40" s="1">
        <v>758611</v>
      </c>
      <c r="AR40" s="1">
        <v>0</v>
      </c>
      <c r="AS40" s="1">
        <v>100710</v>
      </c>
      <c r="AT40" s="1"/>
      <c r="AU40" s="1">
        <v>657901</v>
      </c>
      <c r="AV40" s="1">
        <v>0</v>
      </c>
    </row>
    <row r="41" spans="1:48" s="3" customFormat="1" ht="12" x14ac:dyDescent="0.2">
      <c r="A41" s="1">
        <v>20025</v>
      </c>
      <c r="B41" s="1">
        <v>0</v>
      </c>
      <c r="C41" s="7">
        <v>200049541</v>
      </c>
      <c r="D41" s="1" t="s">
        <v>126</v>
      </c>
      <c r="E41" s="1">
        <v>14</v>
      </c>
      <c r="F41" s="1">
        <v>1</v>
      </c>
      <c r="G41" s="1">
        <v>0</v>
      </c>
      <c r="H41" s="1">
        <v>1</v>
      </c>
      <c r="I41" s="1">
        <v>2018</v>
      </c>
      <c r="J41" s="1">
        <v>4</v>
      </c>
      <c r="K41" s="1" t="s">
        <v>0</v>
      </c>
      <c r="L41" s="1">
        <v>2</v>
      </c>
      <c r="M41" s="1">
        <v>30</v>
      </c>
      <c r="N41" s="1">
        <v>0</v>
      </c>
      <c r="O41" s="1">
        <v>43616.431400462963</v>
      </c>
      <c r="P41" s="1">
        <v>9564426</v>
      </c>
      <c r="Q41" s="1">
        <v>7546666</v>
      </c>
      <c r="R41" s="2">
        <v>2017760</v>
      </c>
      <c r="S41" s="2">
        <v>0</v>
      </c>
      <c r="T41" s="1">
        <v>1534367</v>
      </c>
      <c r="U41" s="1">
        <v>41737</v>
      </c>
      <c r="V41" s="1">
        <v>778970</v>
      </c>
      <c r="W41" s="1">
        <v>713660</v>
      </c>
      <c r="X41" s="1"/>
      <c r="Y41" s="1">
        <v>802450</v>
      </c>
      <c r="Z41" s="1">
        <v>1285843</v>
      </c>
      <c r="AA41" s="1">
        <v>0</v>
      </c>
      <c r="AB41" s="1">
        <v>5256</v>
      </c>
      <c r="AC41" s="1">
        <v>43</v>
      </c>
      <c r="AD41" s="1"/>
      <c r="AE41" s="1"/>
      <c r="AF41" s="1">
        <v>5213</v>
      </c>
      <c r="AG41" s="1"/>
      <c r="AH41" s="1">
        <v>25391</v>
      </c>
      <c r="AI41" s="1">
        <v>21517</v>
      </c>
      <c r="AJ41" s="1"/>
      <c r="AK41" s="1">
        <v>3874</v>
      </c>
      <c r="AL41" s="1"/>
      <c r="AM41" s="1">
        <v>1265708</v>
      </c>
      <c r="AN41" s="1">
        <v>0</v>
      </c>
      <c r="AO41" s="1"/>
      <c r="AP41" s="1"/>
      <c r="AQ41" s="1">
        <v>1265708</v>
      </c>
      <c r="AR41" s="1">
        <v>0</v>
      </c>
      <c r="AS41" s="1">
        <v>188010</v>
      </c>
      <c r="AT41" s="1"/>
      <c r="AU41" s="1">
        <v>1077698</v>
      </c>
      <c r="AV41" s="1">
        <v>0</v>
      </c>
    </row>
    <row r="42" spans="1:48" s="3" customFormat="1" ht="12" x14ac:dyDescent="0.2">
      <c r="A42" s="1">
        <v>20025</v>
      </c>
      <c r="B42" s="1">
        <v>0</v>
      </c>
      <c r="C42" s="1">
        <v>200340624</v>
      </c>
      <c r="D42" s="1" t="s">
        <v>127</v>
      </c>
      <c r="E42" s="1">
        <v>8</v>
      </c>
      <c r="F42" s="1">
        <v>11</v>
      </c>
      <c r="G42" s="1">
        <v>0</v>
      </c>
      <c r="H42" s="1">
        <v>1</v>
      </c>
      <c r="I42" s="1">
        <v>2021</v>
      </c>
      <c r="J42" s="1">
        <v>4</v>
      </c>
      <c r="K42" s="1" t="s">
        <v>0</v>
      </c>
      <c r="L42" s="1">
        <v>1</v>
      </c>
      <c r="M42" s="1">
        <v>30</v>
      </c>
      <c r="N42" s="1">
        <v>0</v>
      </c>
      <c r="O42" s="1">
        <v>44607.779467592591</v>
      </c>
      <c r="P42" s="1">
        <v>52475060</v>
      </c>
      <c r="Q42" s="1">
        <v>25932415</v>
      </c>
      <c r="R42" s="1">
        <v>26542645</v>
      </c>
      <c r="S42" s="1">
        <v>0</v>
      </c>
      <c r="T42" s="1">
        <v>22129298</v>
      </c>
      <c r="U42" s="1">
        <v>13022471</v>
      </c>
      <c r="V42" s="1">
        <v>4210760</v>
      </c>
      <c r="W42" s="1">
        <v>4896067</v>
      </c>
      <c r="X42" s="1"/>
      <c r="Y42" s="1">
        <v>2741345</v>
      </c>
      <c r="Z42" s="1">
        <v>7154692</v>
      </c>
      <c r="AA42" s="1">
        <v>0</v>
      </c>
      <c r="AB42" s="1">
        <v>745722</v>
      </c>
      <c r="AC42" s="1">
        <v>4527</v>
      </c>
      <c r="AD42" s="1"/>
      <c r="AE42" s="1"/>
      <c r="AF42" s="1">
        <v>741195</v>
      </c>
      <c r="AG42" s="1"/>
      <c r="AH42" s="1">
        <v>2888609</v>
      </c>
      <c r="AI42" s="1">
        <v>2063838</v>
      </c>
      <c r="AJ42" s="1"/>
      <c r="AK42" s="1">
        <v>824771</v>
      </c>
      <c r="AL42" s="1"/>
      <c r="AM42" s="1">
        <v>5011805</v>
      </c>
      <c r="AN42" s="1">
        <v>0</v>
      </c>
      <c r="AO42" s="1"/>
      <c r="AP42" s="1"/>
      <c r="AQ42" s="1">
        <v>5011805</v>
      </c>
      <c r="AR42" s="1">
        <v>0</v>
      </c>
      <c r="AS42" s="1">
        <v>219398</v>
      </c>
      <c r="AT42" s="1"/>
      <c r="AU42" s="1">
        <v>4792407</v>
      </c>
      <c r="AV42" s="1">
        <v>0</v>
      </c>
    </row>
    <row r="43" spans="1:48" s="3" customFormat="1" ht="12" x14ac:dyDescent="0.2">
      <c r="A43" s="1">
        <v>20025</v>
      </c>
      <c r="B43" s="1">
        <v>0</v>
      </c>
      <c r="C43" s="1">
        <v>200340624</v>
      </c>
      <c r="D43" s="1" t="s">
        <v>127</v>
      </c>
      <c r="E43" s="1">
        <v>8</v>
      </c>
      <c r="F43" s="1">
        <v>11</v>
      </c>
      <c r="G43" s="1">
        <v>0</v>
      </c>
      <c r="H43" s="1">
        <v>1</v>
      </c>
      <c r="I43" s="1">
        <v>2020</v>
      </c>
      <c r="J43" s="1">
        <v>4</v>
      </c>
      <c r="K43" s="1" t="s">
        <v>0</v>
      </c>
      <c r="L43" s="1">
        <v>1</v>
      </c>
      <c r="M43" s="1">
        <v>30</v>
      </c>
      <c r="N43" s="1">
        <v>0</v>
      </c>
      <c r="O43" s="1">
        <v>44242.724745370368</v>
      </c>
      <c r="P43" s="1">
        <v>25367107.239999998</v>
      </c>
      <c r="Q43" s="1">
        <v>11595083.92</v>
      </c>
      <c r="R43" s="1">
        <v>13772023.32</v>
      </c>
      <c r="S43" s="1">
        <v>0</v>
      </c>
      <c r="T43" s="1">
        <v>9970089.3200000003</v>
      </c>
      <c r="U43" s="1">
        <v>4836157.29</v>
      </c>
      <c r="V43" s="1">
        <v>1662312.27</v>
      </c>
      <c r="W43" s="1">
        <v>3471619.76</v>
      </c>
      <c r="X43" s="1"/>
      <c r="Y43" s="1">
        <v>904128.46</v>
      </c>
      <c r="Z43" s="1">
        <v>4706062.46</v>
      </c>
      <c r="AA43" s="1">
        <v>0</v>
      </c>
      <c r="AB43" s="1">
        <v>299296.03999999998</v>
      </c>
      <c r="AC43" s="1">
        <v>1133.82</v>
      </c>
      <c r="AD43" s="1"/>
      <c r="AE43" s="1"/>
      <c r="AF43" s="1">
        <v>298162.21999999997</v>
      </c>
      <c r="AG43" s="1"/>
      <c r="AH43" s="1">
        <v>505195.6</v>
      </c>
      <c r="AI43" s="1">
        <v>175875.37</v>
      </c>
      <c r="AJ43" s="1"/>
      <c r="AK43" s="1">
        <v>329320.23</v>
      </c>
      <c r="AL43" s="1"/>
      <c r="AM43" s="1">
        <v>4500162.9000000004</v>
      </c>
      <c r="AN43" s="1">
        <v>0</v>
      </c>
      <c r="AO43" s="1"/>
      <c r="AP43" s="1"/>
      <c r="AQ43" s="1">
        <v>4500162.9000000004</v>
      </c>
      <c r="AR43" s="1">
        <v>0</v>
      </c>
      <c r="AS43" s="1">
        <v>303916.28999999998</v>
      </c>
      <c r="AT43" s="1"/>
      <c r="AU43" s="1">
        <v>4196246.6100000003</v>
      </c>
      <c r="AV43" s="1">
        <v>0</v>
      </c>
    </row>
    <row r="44" spans="1:48" s="3" customFormat="1" ht="12" x14ac:dyDescent="0.2">
      <c r="A44" s="1">
        <v>20025</v>
      </c>
      <c r="B44" s="1">
        <v>0</v>
      </c>
      <c r="C44" s="1">
        <v>200340624</v>
      </c>
      <c r="D44" s="1" t="s">
        <v>127</v>
      </c>
      <c r="E44" s="1">
        <v>8</v>
      </c>
      <c r="F44" s="1">
        <v>11</v>
      </c>
      <c r="G44" s="1">
        <v>0</v>
      </c>
      <c r="H44" s="1">
        <v>1</v>
      </c>
      <c r="I44" s="1">
        <v>2019</v>
      </c>
      <c r="J44" s="1">
        <v>4</v>
      </c>
      <c r="K44" s="1" t="s">
        <v>0</v>
      </c>
      <c r="L44" s="1">
        <v>1</v>
      </c>
      <c r="M44" s="1">
        <v>30</v>
      </c>
      <c r="N44" s="1">
        <v>0</v>
      </c>
      <c r="O44" s="1">
        <v>43875.568032407406</v>
      </c>
      <c r="P44" s="1">
        <v>6303595</v>
      </c>
      <c r="Q44" s="1">
        <v>3802173</v>
      </c>
      <c r="R44" s="1">
        <v>2501422</v>
      </c>
      <c r="S44" s="1">
        <v>0</v>
      </c>
      <c r="T44" s="1">
        <v>2705715</v>
      </c>
      <c r="U44" s="1"/>
      <c r="V44" s="1">
        <v>382575</v>
      </c>
      <c r="W44" s="1">
        <v>2323140</v>
      </c>
      <c r="X44" s="1"/>
      <c r="Y44" s="1">
        <v>377168</v>
      </c>
      <c r="Z44" s="1">
        <v>172875</v>
      </c>
      <c r="AA44" s="1">
        <v>0</v>
      </c>
      <c r="AB44" s="1">
        <v>1263</v>
      </c>
      <c r="AC44" s="1">
        <v>1263</v>
      </c>
      <c r="AD44" s="1"/>
      <c r="AE44" s="1"/>
      <c r="AF44" s="1"/>
      <c r="AG44" s="1"/>
      <c r="AH44" s="1">
        <v>123594</v>
      </c>
      <c r="AI44" s="1">
        <v>123594</v>
      </c>
      <c r="AJ44" s="1"/>
      <c r="AK44" s="1"/>
      <c r="AL44" s="1"/>
      <c r="AM44" s="1">
        <v>50544</v>
      </c>
      <c r="AN44" s="1">
        <v>0</v>
      </c>
      <c r="AO44" s="1"/>
      <c r="AP44" s="1"/>
      <c r="AQ44" s="1">
        <v>50544</v>
      </c>
      <c r="AR44" s="1">
        <v>0</v>
      </c>
      <c r="AS44" s="1">
        <v>37665</v>
      </c>
      <c r="AT44" s="1"/>
      <c r="AU44" s="1">
        <v>12879</v>
      </c>
      <c r="AV44" s="1">
        <v>0</v>
      </c>
    </row>
    <row r="45" spans="1:48" s="3" customFormat="1" ht="12" x14ac:dyDescent="0.2">
      <c r="A45" s="1">
        <v>20025</v>
      </c>
      <c r="B45" s="1">
        <v>0</v>
      </c>
      <c r="C45" s="7">
        <v>200340624</v>
      </c>
      <c r="D45" s="1" t="s">
        <v>127</v>
      </c>
      <c r="E45" s="1">
        <v>8</v>
      </c>
      <c r="F45" s="1">
        <v>11</v>
      </c>
      <c r="G45" s="1">
        <v>0</v>
      </c>
      <c r="H45" s="1">
        <v>1</v>
      </c>
      <c r="I45" s="1">
        <v>2018</v>
      </c>
      <c r="J45" s="1">
        <v>4</v>
      </c>
      <c r="K45" s="1" t="s">
        <v>0</v>
      </c>
      <c r="L45" s="1">
        <v>3</v>
      </c>
      <c r="M45" s="1">
        <v>30</v>
      </c>
      <c r="N45" s="1">
        <v>0</v>
      </c>
      <c r="O45" s="1">
        <v>43776.672731481478</v>
      </c>
      <c r="P45" s="1">
        <v>3100883</v>
      </c>
      <c r="Q45" s="1">
        <v>2509133</v>
      </c>
      <c r="R45" s="2">
        <v>591750</v>
      </c>
      <c r="S45" s="2">
        <v>0</v>
      </c>
      <c r="T45" s="1">
        <v>1098023</v>
      </c>
      <c r="U45" s="1"/>
      <c r="V45" s="1">
        <v>329481</v>
      </c>
      <c r="W45" s="1">
        <v>768542</v>
      </c>
      <c r="X45" s="1"/>
      <c r="Y45" s="1">
        <v>875582</v>
      </c>
      <c r="Z45" s="1">
        <v>369309</v>
      </c>
      <c r="AA45" s="1">
        <v>0</v>
      </c>
      <c r="AB45" s="1">
        <v>2676</v>
      </c>
      <c r="AC45" s="1">
        <v>227</v>
      </c>
      <c r="AD45" s="1"/>
      <c r="AE45" s="1"/>
      <c r="AF45" s="1"/>
      <c r="AG45" s="1">
        <v>2449</v>
      </c>
      <c r="AH45" s="1">
        <v>245765</v>
      </c>
      <c r="AI45" s="1">
        <v>245765</v>
      </c>
      <c r="AJ45" s="1"/>
      <c r="AK45" s="1"/>
      <c r="AL45" s="1"/>
      <c r="AM45" s="1">
        <v>126220</v>
      </c>
      <c r="AN45" s="1">
        <v>0</v>
      </c>
      <c r="AO45" s="1"/>
      <c r="AP45" s="1"/>
      <c r="AQ45" s="1">
        <v>126220</v>
      </c>
      <c r="AR45" s="1">
        <v>0</v>
      </c>
      <c r="AS45" s="1">
        <v>33101</v>
      </c>
      <c r="AT45" s="1"/>
      <c r="AU45" s="1">
        <v>93119</v>
      </c>
      <c r="AV45" s="1">
        <v>0</v>
      </c>
    </row>
    <row r="46" spans="1:48" s="3" customFormat="1" ht="12" x14ac:dyDescent="0.2">
      <c r="A46" s="1">
        <v>20025</v>
      </c>
      <c r="B46" s="1">
        <v>0</v>
      </c>
      <c r="C46" s="1">
        <v>200344745</v>
      </c>
      <c r="D46" s="1" t="s">
        <v>128</v>
      </c>
      <c r="E46" s="1">
        <v>8</v>
      </c>
      <c r="F46" s="1">
        <v>12</v>
      </c>
      <c r="G46" s="1">
        <v>0</v>
      </c>
      <c r="H46" s="1">
        <v>1</v>
      </c>
      <c r="I46" s="1">
        <v>2021</v>
      </c>
      <c r="J46" s="1">
        <v>4</v>
      </c>
      <c r="K46" s="1" t="s">
        <v>0</v>
      </c>
      <c r="L46" s="1">
        <v>2</v>
      </c>
      <c r="M46" s="1">
        <v>30</v>
      </c>
      <c r="N46" s="1">
        <v>0</v>
      </c>
      <c r="O46" s="1">
        <v>44882.644363425927</v>
      </c>
      <c r="P46" s="1">
        <v>21201386</v>
      </c>
      <c r="Q46" s="1">
        <v>16844838</v>
      </c>
      <c r="R46" s="1">
        <v>4356548</v>
      </c>
      <c r="S46" s="1">
        <v>0</v>
      </c>
      <c r="T46" s="1">
        <v>4367370</v>
      </c>
      <c r="U46" s="1"/>
      <c r="V46" s="1">
        <v>2386638</v>
      </c>
      <c r="W46" s="1">
        <v>1980732</v>
      </c>
      <c r="X46" s="1"/>
      <c r="Y46" s="1">
        <v>2013378</v>
      </c>
      <c r="Z46" s="1">
        <v>2002556</v>
      </c>
      <c r="AA46" s="1">
        <v>0</v>
      </c>
      <c r="AB46" s="1">
        <v>91836</v>
      </c>
      <c r="AC46" s="1"/>
      <c r="AD46" s="1"/>
      <c r="AE46" s="1"/>
      <c r="AF46" s="1">
        <v>91805</v>
      </c>
      <c r="AG46" s="1">
        <v>31</v>
      </c>
      <c r="AH46" s="1">
        <v>1244278</v>
      </c>
      <c r="AI46" s="1">
        <v>951213</v>
      </c>
      <c r="AJ46" s="1"/>
      <c r="AK46" s="1">
        <v>292076</v>
      </c>
      <c r="AL46" s="1">
        <v>989</v>
      </c>
      <c r="AM46" s="1">
        <v>850114</v>
      </c>
      <c r="AN46" s="1">
        <v>0</v>
      </c>
      <c r="AO46" s="1"/>
      <c r="AP46" s="1"/>
      <c r="AQ46" s="1">
        <v>850114</v>
      </c>
      <c r="AR46" s="1">
        <v>0</v>
      </c>
      <c r="AS46" s="1">
        <v>127517</v>
      </c>
      <c r="AT46" s="1"/>
      <c r="AU46" s="1">
        <v>722597</v>
      </c>
      <c r="AV46" s="1">
        <v>0</v>
      </c>
    </row>
    <row r="47" spans="1:48" s="3" customFormat="1" ht="12" x14ac:dyDescent="0.2">
      <c r="A47" s="1">
        <v>20025</v>
      </c>
      <c r="B47" s="1">
        <v>0</v>
      </c>
      <c r="C47" s="1">
        <v>200344745</v>
      </c>
      <c r="D47" s="1" t="s">
        <v>128</v>
      </c>
      <c r="E47" s="1">
        <v>8</v>
      </c>
      <c r="F47" s="1">
        <v>12</v>
      </c>
      <c r="G47" s="1">
        <v>0</v>
      </c>
      <c r="H47" s="1">
        <v>1</v>
      </c>
      <c r="I47" s="1">
        <v>2020</v>
      </c>
      <c r="J47" s="1">
        <v>4</v>
      </c>
      <c r="K47" s="1" t="s">
        <v>0</v>
      </c>
      <c r="L47" s="1">
        <v>2</v>
      </c>
      <c r="M47" s="1">
        <v>30</v>
      </c>
      <c r="N47" s="1">
        <v>0</v>
      </c>
      <c r="O47" s="1">
        <v>44795.497372685182</v>
      </c>
      <c r="P47" s="1">
        <v>29744018.02</v>
      </c>
      <c r="Q47" s="1">
        <v>21358492.649999999</v>
      </c>
      <c r="R47" s="1">
        <v>8385525.3700000001</v>
      </c>
      <c r="S47" s="1">
        <v>0</v>
      </c>
      <c r="T47" s="1">
        <v>5370719.0499999998</v>
      </c>
      <c r="U47" s="1"/>
      <c r="V47" s="1">
        <v>2693600.8</v>
      </c>
      <c r="W47" s="1">
        <v>2677118.25</v>
      </c>
      <c r="X47" s="1"/>
      <c r="Y47" s="1">
        <v>362563.56</v>
      </c>
      <c r="Z47" s="1">
        <v>3377369.88</v>
      </c>
      <c r="AA47" s="1">
        <v>0</v>
      </c>
      <c r="AB47" s="1">
        <v>88005.18</v>
      </c>
      <c r="AC47" s="1"/>
      <c r="AD47" s="1">
        <v>46.91</v>
      </c>
      <c r="AE47" s="1"/>
      <c r="AF47" s="1">
        <v>87958.27</v>
      </c>
      <c r="AG47" s="1"/>
      <c r="AH47" s="1">
        <v>3180018.46</v>
      </c>
      <c r="AI47" s="1">
        <v>2561774.0699999998</v>
      </c>
      <c r="AJ47" s="1"/>
      <c r="AK47" s="1">
        <v>617094.16</v>
      </c>
      <c r="AL47" s="1">
        <v>1150.23</v>
      </c>
      <c r="AM47" s="1">
        <v>285356.59999999998</v>
      </c>
      <c r="AN47" s="1">
        <v>0</v>
      </c>
      <c r="AO47" s="1"/>
      <c r="AP47" s="1"/>
      <c r="AQ47" s="1">
        <v>285356.59999999998</v>
      </c>
      <c r="AR47" s="1">
        <v>0</v>
      </c>
      <c r="AS47" s="1">
        <v>84124.53</v>
      </c>
      <c r="AT47" s="1"/>
      <c r="AU47" s="1">
        <v>201232.07</v>
      </c>
      <c r="AV47" s="1">
        <v>0</v>
      </c>
    </row>
    <row r="48" spans="1:48" s="3" customFormat="1" ht="12" x14ac:dyDescent="0.2">
      <c r="A48" s="1">
        <v>20025</v>
      </c>
      <c r="B48" s="1">
        <v>0</v>
      </c>
      <c r="C48" s="1">
        <v>200344745</v>
      </c>
      <c r="D48" s="1" t="s">
        <v>128</v>
      </c>
      <c r="E48" s="1">
        <v>8</v>
      </c>
      <c r="F48" s="1">
        <v>12</v>
      </c>
      <c r="G48" s="1">
        <v>0</v>
      </c>
      <c r="H48" s="1">
        <v>1</v>
      </c>
      <c r="I48" s="1">
        <v>2019</v>
      </c>
      <c r="J48" s="1">
        <v>4</v>
      </c>
      <c r="K48" s="1" t="s">
        <v>0</v>
      </c>
      <c r="L48" s="1">
        <v>1</v>
      </c>
      <c r="M48" s="1">
        <v>30</v>
      </c>
      <c r="N48" s="1">
        <v>0</v>
      </c>
      <c r="O48" s="1">
        <v>43878.723553240743</v>
      </c>
      <c r="P48" s="1">
        <v>29856558</v>
      </c>
      <c r="Q48" s="1">
        <v>19496797</v>
      </c>
      <c r="R48" s="1">
        <v>10359761</v>
      </c>
      <c r="S48" s="1">
        <v>0</v>
      </c>
      <c r="T48" s="1">
        <v>5693203</v>
      </c>
      <c r="U48" s="1"/>
      <c r="V48" s="1">
        <v>3267506</v>
      </c>
      <c r="W48" s="1">
        <v>2425697</v>
      </c>
      <c r="X48" s="1"/>
      <c r="Y48" s="1">
        <v>658077</v>
      </c>
      <c r="Z48" s="1">
        <v>5324635</v>
      </c>
      <c r="AA48" s="1">
        <v>0</v>
      </c>
      <c r="AB48" s="1">
        <v>139437</v>
      </c>
      <c r="AC48" s="1"/>
      <c r="AD48" s="1"/>
      <c r="AE48" s="1"/>
      <c r="AF48" s="1">
        <v>138021</v>
      </c>
      <c r="AG48" s="1">
        <v>1416</v>
      </c>
      <c r="AH48" s="1">
        <v>1510539</v>
      </c>
      <c r="AI48" s="1">
        <v>1189706</v>
      </c>
      <c r="AJ48" s="1"/>
      <c r="AK48" s="1">
        <v>320833</v>
      </c>
      <c r="AL48" s="1"/>
      <c r="AM48" s="1">
        <v>3953533</v>
      </c>
      <c r="AN48" s="1">
        <v>0</v>
      </c>
      <c r="AO48" s="1"/>
      <c r="AP48" s="1"/>
      <c r="AQ48" s="1">
        <v>3953533</v>
      </c>
      <c r="AR48" s="1">
        <v>0</v>
      </c>
      <c r="AS48" s="1">
        <v>359469</v>
      </c>
      <c r="AT48" s="1">
        <v>62086</v>
      </c>
      <c r="AU48" s="1">
        <v>3531978</v>
      </c>
      <c r="AV48" s="1">
        <v>0</v>
      </c>
    </row>
    <row r="49" spans="1:48" s="3" customFormat="1" ht="12" x14ac:dyDescent="0.2">
      <c r="A49" s="1">
        <v>20025</v>
      </c>
      <c r="B49" s="1">
        <v>0</v>
      </c>
      <c r="C49" s="7">
        <v>200344745</v>
      </c>
      <c r="D49" s="1" t="s">
        <v>128</v>
      </c>
      <c r="E49" s="1">
        <v>8</v>
      </c>
      <c r="F49" s="1">
        <v>12</v>
      </c>
      <c r="G49" s="1">
        <v>0</v>
      </c>
      <c r="H49" s="1">
        <v>1</v>
      </c>
      <c r="I49" s="1">
        <v>2018</v>
      </c>
      <c r="J49" s="1">
        <v>4</v>
      </c>
      <c r="K49" s="1" t="s">
        <v>0</v>
      </c>
      <c r="L49" s="1">
        <v>2</v>
      </c>
      <c r="M49" s="1">
        <v>30</v>
      </c>
      <c r="N49" s="1">
        <v>0</v>
      </c>
      <c r="O49" s="1">
        <v>43551.836539351854</v>
      </c>
      <c r="P49" s="1">
        <v>38672037</v>
      </c>
      <c r="Q49" s="1">
        <v>34270280</v>
      </c>
      <c r="R49" s="2">
        <v>4401757</v>
      </c>
      <c r="S49" s="2">
        <v>0</v>
      </c>
      <c r="T49" s="1">
        <v>6481063</v>
      </c>
      <c r="U49" s="1">
        <v>0</v>
      </c>
      <c r="V49" s="1">
        <v>4709136</v>
      </c>
      <c r="W49" s="1">
        <v>1771927</v>
      </c>
      <c r="X49" s="1">
        <v>0</v>
      </c>
      <c r="Y49" s="1">
        <v>11708909</v>
      </c>
      <c r="Z49" s="1">
        <v>9629603</v>
      </c>
      <c r="AA49" s="1">
        <v>0</v>
      </c>
      <c r="AB49" s="1">
        <v>575716</v>
      </c>
      <c r="AC49" s="1">
        <v>0</v>
      </c>
      <c r="AD49" s="1">
        <v>0</v>
      </c>
      <c r="AE49" s="1">
        <v>0</v>
      </c>
      <c r="AF49" s="1">
        <v>575716</v>
      </c>
      <c r="AG49" s="1">
        <v>0</v>
      </c>
      <c r="AH49" s="1">
        <v>1037978</v>
      </c>
      <c r="AI49" s="1">
        <v>633356</v>
      </c>
      <c r="AJ49" s="1">
        <v>0</v>
      </c>
      <c r="AK49" s="1">
        <v>404622</v>
      </c>
      <c r="AL49" s="1">
        <v>0</v>
      </c>
      <c r="AM49" s="1">
        <v>9167341</v>
      </c>
      <c r="AN49" s="1">
        <v>0</v>
      </c>
      <c r="AO49" s="1">
        <v>0</v>
      </c>
      <c r="AP49" s="1">
        <v>0</v>
      </c>
      <c r="AQ49" s="1">
        <v>9167341</v>
      </c>
      <c r="AR49" s="1">
        <v>0</v>
      </c>
      <c r="AS49" s="1">
        <v>2410351</v>
      </c>
      <c r="AT49" s="1">
        <v>0</v>
      </c>
      <c r="AU49" s="1">
        <v>6756990</v>
      </c>
      <c r="AV49" s="1">
        <v>0</v>
      </c>
    </row>
    <row r="50" spans="1:48" s="3" customFormat="1" ht="12" x14ac:dyDescent="0.2">
      <c r="A50" s="1">
        <v>20025</v>
      </c>
      <c r="B50" s="1">
        <v>0</v>
      </c>
      <c r="C50" s="1">
        <v>200378039</v>
      </c>
      <c r="D50" s="1" t="s">
        <v>129</v>
      </c>
      <c r="E50" s="1">
        <v>35</v>
      </c>
      <c r="F50" s="1">
        <v>9</v>
      </c>
      <c r="G50" s="1">
        <v>0</v>
      </c>
      <c r="H50" s="1">
        <v>13</v>
      </c>
      <c r="I50" s="1">
        <v>2021</v>
      </c>
      <c r="J50" s="1">
        <v>4</v>
      </c>
      <c r="K50" s="1" t="s">
        <v>0</v>
      </c>
      <c r="L50" s="1">
        <v>1</v>
      </c>
      <c r="M50" s="1">
        <v>30</v>
      </c>
      <c r="N50" s="1">
        <v>0</v>
      </c>
      <c r="O50" s="1">
        <v>44581.500092592592</v>
      </c>
      <c r="P50" s="1">
        <v>2400</v>
      </c>
      <c r="Q50" s="1">
        <v>1200</v>
      </c>
      <c r="R50" s="1">
        <v>1200</v>
      </c>
      <c r="S50" s="1">
        <v>0</v>
      </c>
      <c r="T50" s="1">
        <v>9119.5</v>
      </c>
      <c r="U50" s="1"/>
      <c r="V50" s="1">
        <v>9119.5</v>
      </c>
      <c r="W50" s="1"/>
      <c r="X50" s="1"/>
      <c r="Y50" s="1"/>
      <c r="Z50" s="1">
        <v>0</v>
      </c>
      <c r="AA50" s="1">
        <v>7919.5</v>
      </c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>
        <v>0</v>
      </c>
      <c r="AN50" s="1">
        <v>7919.5</v>
      </c>
      <c r="AO50" s="1"/>
      <c r="AP50" s="1"/>
      <c r="AQ50" s="1">
        <v>0</v>
      </c>
      <c r="AR50" s="1">
        <v>7919.5</v>
      </c>
      <c r="AS50" s="1">
        <v>136</v>
      </c>
      <c r="AT50" s="1">
        <v>3270</v>
      </c>
      <c r="AU50" s="1">
        <v>-11325.5</v>
      </c>
      <c r="AV50" s="1">
        <v>11325.5</v>
      </c>
    </row>
    <row r="51" spans="1:48" s="3" customFormat="1" ht="12" x14ac:dyDescent="0.2">
      <c r="A51" s="1">
        <v>60132</v>
      </c>
      <c r="B51" s="1">
        <v>0</v>
      </c>
      <c r="C51" s="1">
        <v>200378039</v>
      </c>
      <c r="D51" s="1" t="s">
        <v>129</v>
      </c>
      <c r="E51" s="1">
        <v>35</v>
      </c>
      <c r="F51" s="1">
        <v>9</v>
      </c>
      <c r="G51" s="1">
        <v>0</v>
      </c>
      <c r="H51" s="1">
        <v>13</v>
      </c>
      <c r="I51" s="1">
        <v>2020</v>
      </c>
      <c r="J51" s="1">
        <v>4</v>
      </c>
      <c r="K51" s="1" t="s">
        <v>0</v>
      </c>
      <c r="L51" s="1">
        <v>1</v>
      </c>
      <c r="M51" s="1">
        <v>30</v>
      </c>
      <c r="N51" s="1">
        <v>0</v>
      </c>
      <c r="O51" s="1">
        <v>44211.810185185182</v>
      </c>
      <c r="P51" s="1">
        <v>16000</v>
      </c>
      <c r="Q51" s="1">
        <v>5600</v>
      </c>
      <c r="R51" s="1">
        <v>10400</v>
      </c>
      <c r="S51" s="1">
        <v>0</v>
      </c>
      <c r="T51" s="1">
        <v>8495.1</v>
      </c>
      <c r="U51" s="1"/>
      <c r="V51" s="1">
        <v>8380.1</v>
      </c>
      <c r="W51" s="1">
        <v>115</v>
      </c>
      <c r="X51" s="1"/>
      <c r="Y51" s="1"/>
      <c r="Z51" s="1">
        <v>1904.9</v>
      </c>
      <c r="AA51" s="1">
        <v>0</v>
      </c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>
        <v>1904.9</v>
      </c>
      <c r="AN51" s="1">
        <v>0</v>
      </c>
      <c r="AO51" s="1"/>
      <c r="AP51" s="1"/>
      <c r="AQ51" s="1">
        <v>1904.9</v>
      </c>
      <c r="AR51" s="1">
        <v>0</v>
      </c>
      <c r="AS51" s="1">
        <v>1200</v>
      </c>
      <c r="AT51" s="1">
        <v>6654.6</v>
      </c>
      <c r="AU51" s="1">
        <v>-5949.7</v>
      </c>
      <c r="AV51" s="1">
        <v>5949.7</v>
      </c>
    </row>
    <row r="52" spans="1:48" s="3" customFormat="1" ht="12" x14ac:dyDescent="0.2">
      <c r="A52" s="1">
        <v>20025</v>
      </c>
      <c r="B52" s="1">
        <v>0</v>
      </c>
      <c r="C52" s="1">
        <v>200378039</v>
      </c>
      <c r="D52" s="1" t="s">
        <v>129</v>
      </c>
      <c r="E52" s="1">
        <v>35</v>
      </c>
      <c r="F52" s="1">
        <v>9</v>
      </c>
      <c r="G52" s="1">
        <v>0</v>
      </c>
      <c r="H52" s="1">
        <v>13</v>
      </c>
      <c r="I52" s="1">
        <v>2019</v>
      </c>
      <c r="J52" s="1">
        <v>4</v>
      </c>
      <c r="K52" s="1" t="s">
        <v>0</v>
      </c>
      <c r="L52" s="1">
        <v>2</v>
      </c>
      <c r="M52" s="1">
        <v>30</v>
      </c>
      <c r="N52" s="1">
        <v>0</v>
      </c>
      <c r="O52" s="1">
        <v>43900.633530092593</v>
      </c>
      <c r="P52" s="1">
        <v>15000</v>
      </c>
      <c r="Q52" s="1">
        <v>7200</v>
      </c>
      <c r="R52" s="1">
        <v>7800</v>
      </c>
      <c r="S52" s="1">
        <v>0</v>
      </c>
      <c r="T52" s="1">
        <v>21746.7</v>
      </c>
      <c r="U52" s="1"/>
      <c r="V52" s="1">
        <v>20967.099999999999</v>
      </c>
      <c r="W52" s="1">
        <v>779.6</v>
      </c>
      <c r="X52" s="1"/>
      <c r="Y52" s="1"/>
      <c r="Z52" s="1">
        <v>0</v>
      </c>
      <c r="AA52" s="1">
        <v>13946.7</v>
      </c>
      <c r="AB52" s="1">
        <v>10000</v>
      </c>
      <c r="AC52" s="1"/>
      <c r="AD52" s="1"/>
      <c r="AE52" s="1"/>
      <c r="AF52" s="1"/>
      <c r="AG52" s="1">
        <v>10000</v>
      </c>
      <c r="AH52" s="1"/>
      <c r="AI52" s="1"/>
      <c r="AJ52" s="1"/>
      <c r="AK52" s="1"/>
      <c r="AL52" s="1"/>
      <c r="AM52" s="1">
        <v>0</v>
      </c>
      <c r="AN52" s="1">
        <v>3946.7</v>
      </c>
      <c r="AO52" s="1"/>
      <c r="AP52" s="1"/>
      <c r="AQ52" s="1">
        <v>0</v>
      </c>
      <c r="AR52" s="1">
        <v>3946.7</v>
      </c>
      <c r="AS52" s="1">
        <v>200</v>
      </c>
      <c r="AT52" s="1">
        <v>6970.5</v>
      </c>
      <c r="AU52" s="1">
        <v>-11117.2</v>
      </c>
      <c r="AV52" s="1">
        <v>11117.2</v>
      </c>
    </row>
    <row r="53" spans="1:48" s="3" customFormat="1" ht="12" x14ac:dyDescent="0.2">
      <c r="A53" s="1">
        <v>20025</v>
      </c>
      <c r="B53" s="1">
        <v>0</v>
      </c>
      <c r="C53" s="7">
        <v>200378039</v>
      </c>
      <c r="D53" s="1" t="s">
        <v>129</v>
      </c>
      <c r="E53" s="1">
        <v>35</v>
      </c>
      <c r="F53" s="1">
        <v>9</v>
      </c>
      <c r="G53" s="1">
        <v>0</v>
      </c>
      <c r="H53" s="1">
        <v>13</v>
      </c>
      <c r="I53" s="1">
        <v>2018</v>
      </c>
      <c r="J53" s="1">
        <v>4</v>
      </c>
      <c r="K53" s="1" t="s">
        <v>0</v>
      </c>
      <c r="L53" s="1">
        <v>1</v>
      </c>
      <c r="M53" s="1">
        <v>30</v>
      </c>
      <c r="N53" s="1">
        <v>0</v>
      </c>
      <c r="O53" s="1">
        <v>43491.517592592594</v>
      </c>
      <c r="P53" s="1">
        <v>370500</v>
      </c>
      <c r="Q53" s="1">
        <v>299603.90000000002</v>
      </c>
      <c r="R53" s="2">
        <v>70896.100000000006</v>
      </c>
      <c r="S53" s="2">
        <v>0</v>
      </c>
      <c r="T53" s="1">
        <v>50642.6</v>
      </c>
      <c r="U53" s="1"/>
      <c r="V53" s="1">
        <v>50642.6</v>
      </c>
      <c r="W53" s="1"/>
      <c r="X53" s="1"/>
      <c r="Y53" s="1"/>
      <c r="Z53" s="1">
        <v>20253.5</v>
      </c>
      <c r="AA53" s="1">
        <v>0</v>
      </c>
      <c r="AB53" s="1">
        <v>15000</v>
      </c>
      <c r="AC53" s="1"/>
      <c r="AD53" s="1"/>
      <c r="AE53" s="1"/>
      <c r="AF53" s="1"/>
      <c r="AG53" s="1">
        <v>15000</v>
      </c>
      <c r="AH53" s="1"/>
      <c r="AI53" s="1"/>
      <c r="AJ53" s="1"/>
      <c r="AK53" s="1"/>
      <c r="AL53" s="1"/>
      <c r="AM53" s="1">
        <v>35253.5</v>
      </c>
      <c r="AN53" s="1">
        <v>0</v>
      </c>
      <c r="AO53" s="1"/>
      <c r="AP53" s="1"/>
      <c r="AQ53" s="1">
        <v>35253.5</v>
      </c>
      <c r="AR53" s="1">
        <v>0</v>
      </c>
      <c r="AS53" s="1"/>
      <c r="AT53" s="1">
        <v>31803.5</v>
      </c>
      <c r="AU53" s="1">
        <v>3450</v>
      </c>
      <c r="AV53" s="1">
        <v>0</v>
      </c>
    </row>
    <row r="54" spans="1:48" s="3" customFormat="1" ht="12" x14ac:dyDescent="0.2">
      <c r="A54" s="1">
        <v>20025</v>
      </c>
      <c r="B54" s="1">
        <v>0</v>
      </c>
      <c r="C54" s="1">
        <v>200383721</v>
      </c>
      <c r="D54" s="1" t="s">
        <v>130</v>
      </c>
      <c r="E54" s="1">
        <v>35</v>
      </c>
      <c r="F54" s="1">
        <v>12</v>
      </c>
      <c r="G54" s="1">
        <v>0</v>
      </c>
      <c r="H54" s="1">
        <v>1</v>
      </c>
      <c r="I54" s="1">
        <v>2021</v>
      </c>
      <c r="J54" s="1">
        <v>4</v>
      </c>
      <c r="K54" s="1" t="s">
        <v>0</v>
      </c>
      <c r="L54" s="1">
        <v>2</v>
      </c>
      <c r="M54" s="1">
        <v>30</v>
      </c>
      <c r="N54" s="1">
        <v>0</v>
      </c>
      <c r="O54" s="1">
        <v>44644.413541666669</v>
      </c>
      <c r="P54" s="1">
        <v>40387789</v>
      </c>
      <c r="Q54" s="1">
        <v>35463326</v>
      </c>
      <c r="R54" s="1">
        <v>4924463</v>
      </c>
      <c r="S54" s="1">
        <v>0</v>
      </c>
      <c r="T54" s="1">
        <v>3807296</v>
      </c>
      <c r="U54" s="1">
        <v>35408</v>
      </c>
      <c r="V54" s="1">
        <v>1274445</v>
      </c>
      <c r="W54" s="1">
        <v>2497443</v>
      </c>
      <c r="X54" s="1"/>
      <c r="Y54" s="1">
        <v>118208</v>
      </c>
      <c r="Z54" s="1">
        <v>1235375</v>
      </c>
      <c r="AA54" s="1">
        <v>0</v>
      </c>
      <c r="AB54" s="1"/>
      <c r="AC54" s="1"/>
      <c r="AD54" s="1"/>
      <c r="AE54" s="1"/>
      <c r="AF54" s="1"/>
      <c r="AG54" s="1"/>
      <c r="AH54" s="1">
        <v>1090904</v>
      </c>
      <c r="AI54" s="1">
        <v>1090904</v>
      </c>
      <c r="AJ54" s="1"/>
      <c r="AK54" s="1"/>
      <c r="AL54" s="1"/>
      <c r="AM54" s="1">
        <v>144471</v>
      </c>
      <c r="AN54" s="1">
        <v>0</v>
      </c>
      <c r="AO54" s="1"/>
      <c r="AP54" s="1"/>
      <c r="AQ54" s="1">
        <v>144471</v>
      </c>
      <c r="AR54" s="1">
        <v>0</v>
      </c>
      <c r="AS54" s="1">
        <v>45121</v>
      </c>
      <c r="AT54" s="1">
        <v>0</v>
      </c>
      <c r="AU54" s="1">
        <v>99350</v>
      </c>
      <c r="AV54" s="1">
        <v>0</v>
      </c>
    </row>
    <row r="55" spans="1:48" s="3" customFormat="1" ht="12" x14ac:dyDescent="0.2">
      <c r="A55" s="1">
        <v>20025</v>
      </c>
      <c r="B55" s="1">
        <v>0</v>
      </c>
      <c r="C55" s="1">
        <v>200383721</v>
      </c>
      <c r="D55" s="1" t="s">
        <v>130</v>
      </c>
      <c r="E55" s="1">
        <v>35</v>
      </c>
      <c r="F55" s="1">
        <v>12</v>
      </c>
      <c r="G55" s="1">
        <v>0</v>
      </c>
      <c r="H55" s="1">
        <v>1</v>
      </c>
      <c r="I55" s="1">
        <v>2020</v>
      </c>
      <c r="J55" s="1">
        <v>4</v>
      </c>
      <c r="K55" s="1" t="s">
        <v>0</v>
      </c>
      <c r="L55" s="1">
        <v>2</v>
      </c>
      <c r="M55" s="1">
        <v>30</v>
      </c>
      <c r="N55" s="1">
        <v>0</v>
      </c>
      <c r="O55" s="1">
        <v>44258.485868055555</v>
      </c>
      <c r="P55" s="1">
        <v>41633330</v>
      </c>
      <c r="Q55" s="1">
        <v>36720732</v>
      </c>
      <c r="R55" s="1">
        <v>4912598</v>
      </c>
      <c r="S55" s="1">
        <v>0</v>
      </c>
      <c r="T55" s="1">
        <v>3589239</v>
      </c>
      <c r="U55" s="1">
        <v>50698</v>
      </c>
      <c r="V55" s="1">
        <v>974219</v>
      </c>
      <c r="W55" s="1">
        <v>2564322</v>
      </c>
      <c r="X55" s="1"/>
      <c r="Y55" s="1">
        <v>106706</v>
      </c>
      <c r="Z55" s="1">
        <v>1430065</v>
      </c>
      <c r="AA55" s="1">
        <v>0</v>
      </c>
      <c r="AB55" s="1">
        <v>0</v>
      </c>
      <c r="AC55" s="1"/>
      <c r="AD55" s="1"/>
      <c r="AE55" s="1"/>
      <c r="AF55" s="1"/>
      <c r="AG55" s="1"/>
      <c r="AH55" s="1">
        <v>1251141</v>
      </c>
      <c r="AI55" s="1">
        <v>1251141</v>
      </c>
      <c r="AJ55" s="1"/>
      <c r="AK55" s="1"/>
      <c r="AL55" s="1"/>
      <c r="AM55" s="1">
        <v>178924</v>
      </c>
      <c r="AN55" s="1">
        <v>0</v>
      </c>
      <c r="AO55" s="1"/>
      <c r="AP55" s="1"/>
      <c r="AQ55" s="1">
        <v>178924</v>
      </c>
      <c r="AR55" s="1">
        <v>0</v>
      </c>
      <c r="AS55" s="1">
        <v>87923</v>
      </c>
      <c r="AT55" s="1"/>
      <c r="AU55" s="1">
        <v>91001</v>
      </c>
      <c r="AV55" s="1">
        <v>0</v>
      </c>
    </row>
    <row r="56" spans="1:48" s="3" customFormat="1" ht="12" x14ac:dyDescent="0.2">
      <c r="A56" s="1">
        <v>20025</v>
      </c>
      <c r="B56" s="1">
        <v>0</v>
      </c>
      <c r="C56" s="1">
        <v>200383721</v>
      </c>
      <c r="D56" s="1" t="s">
        <v>130</v>
      </c>
      <c r="E56" s="1">
        <v>35</v>
      </c>
      <c r="F56" s="1">
        <v>12</v>
      </c>
      <c r="G56" s="1">
        <v>0</v>
      </c>
      <c r="H56" s="1">
        <v>1</v>
      </c>
      <c r="I56" s="1">
        <v>2019</v>
      </c>
      <c r="J56" s="1">
        <v>4</v>
      </c>
      <c r="K56" s="1" t="s">
        <v>0</v>
      </c>
      <c r="L56" s="1">
        <v>2</v>
      </c>
      <c r="M56" s="1">
        <v>30</v>
      </c>
      <c r="N56" s="1">
        <v>0</v>
      </c>
      <c r="O56" s="1">
        <v>43951.437141203707</v>
      </c>
      <c r="P56" s="1">
        <v>29296530</v>
      </c>
      <c r="Q56" s="1">
        <v>23817611</v>
      </c>
      <c r="R56" s="1">
        <v>5478919</v>
      </c>
      <c r="S56" s="1">
        <v>0</v>
      </c>
      <c r="T56" s="1">
        <v>3613251</v>
      </c>
      <c r="U56" s="1">
        <v>40138</v>
      </c>
      <c r="V56" s="1">
        <v>756278</v>
      </c>
      <c r="W56" s="1">
        <v>2816835</v>
      </c>
      <c r="X56" s="1"/>
      <c r="Y56" s="1">
        <v>104145</v>
      </c>
      <c r="Z56" s="1">
        <v>1969813</v>
      </c>
      <c r="AA56" s="1">
        <v>0</v>
      </c>
      <c r="AB56" s="1">
        <v>803</v>
      </c>
      <c r="AC56" s="1">
        <v>803</v>
      </c>
      <c r="AD56" s="1"/>
      <c r="AE56" s="1"/>
      <c r="AF56" s="1"/>
      <c r="AG56" s="1"/>
      <c r="AH56" s="1">
        <v>1184669</v>
      </c>
      <c r="AI56" s="1">
        <v>1184669</v>
      </c>
      <c r="AJ56" s="1"/>
      <c r="AK56" s="1"/>
      <c r="AL56" s="1"/>
      <c r="AM56" s="1">
        <v>785947</v>
      </c>
      <c r="AN56" s="1">
        <v>0</v>
      </c>
      <c r="AO56" s="1"/>
      <c r="AP56" s="1"/>
      <c r="AQ56" s="1">
        <v>785947</v>
      </c>
      <c r="AR56" s="1">
        <v>0</v>
      </c>
      <c r="AS56" s="1">
        <v>197327</v>
      </c>
      <c r="AT56" s="1"/>
      <c r="AU56" s="1">
        <v>588620</v>
      </c>
      <c r="AV56" s="1">
        <v>0</v>
      </c>
    </row>
    <row r="57" spans="1:48" s="3" customFormat="1" ht="12" x14ac:dyDescent="0.2">
      <c r="A57" s="1">
        <v>20025</v>
      </c>
      <c r="B57" s="1">
        <v>0</v>
      </c>
      <c r="C57" s="7">
        <v>200383721</v>
      </c>
      <c r="D57" s="1" t="s">
        <v>130</v>
      </c>
      <c r="E57" s="1">
        <v>35</v>
      </c>
      <c r="F57" s="1">
        <v>12</v>
      </c>
      <c r="G57" s="1">
        <v>0</v>
      </c>
      <c r="H57" s="1">
        <v>1</v>
      </c>
      <c r="I57" s="1">
        <v>2018</v>
      </c>
      <c r="J57" s="1">
        <v>4</v>
      </c>
      <c r="K57" s="1" t="s">
        <v>0</v>
      </c>
      <c r="L57" s="1">
        <v>2</v>
      </c>
      <c r="M57" s="1">
        <v>30</v>
      </c>
      <c r="N57" s="1">
        <v>0</v>
      </c>
      <c r="O57" s="1">
        <v>43537.697129629632</v>
      </c>
      <c r="P57" s="1">
        <v>25250629</v>
      </c>
      <c r="Q57" s="1">
        <v>19016971</v>
      </c>
      <c r="R57" s="2">
        <v>6233658</v>
      </c>
      <c r="S57" s="2">
        <v>0</v>
      </c>
      <c r="T57" s="1">
        <v>4412874</v>
      </c>
      <c r="U57" s="1">
        <v>39542</v>
      </c>
      <c r="V57" s="1">
        <v>623979</v>
      </c>
      <c r="W57" s="1">
        <v>3749353</v>
      </c>
      <c r="X57" s="1"/>
      <c r="Y57" s="1">
        <v>107812</v>
      </c>
      <c r="Z57" s="1">
        <v>1928596</v>
      </c>
      <c r="AA57" s="1">
        <v>0</v>
      </c>
      <c r="AB57" s="1">
        <v>433</v>
      </c>
      <c r="AC57" s="1">
        <v>433</v>
      </c>
      <c r="AD57" s="1"/>
      <c r="AE57" s="1"/>
      <c r="AF57" s="1"/>
      <c r="AG57" s="1"/>
      <c r="AH57" s="1">
        <v>1911955</v>
      </c>
      <c r="AI57" s="1">
        <v>1911955</v>
      </c>
      <c r="AJ57" s="1"/>
      <c r="AK57" s="1"/>
      <c r="AL57" s="1"/>
      <c r="AM57" s="1">
        <v>17074</v>
      </c>
      <c r="AN57" s="1">
        <v>0</v>
      </c>
      <c r="AO57" s="1"/>
      <c r="AP57" s="1"/>
      <c r="AQ57" s="1">
        <v>17074</v>
      </c>
      <c r="AR57" s="1">
        <v>0</v>
      </c>
      <c r="AS57" s="1">
        <v>2390</v>
      </c>
      <c r="AT57" s="1"/>
      <c r="AU57" s="1">
        <v>14684</v>
      </c>
      <c r="AV57" s="1">
        <v>0</v>
      </c>
    </row>
    <row r="58" spans="1:48" s="3" customFormat="1" ht="12" x14ac:dyDescent="0.2">
      <c r="A58" s="1">
        <v>20025</v>
      </c>
      <c r="B58" s="1">
        <v>0</v>
      </c>
      <c r="C58" s="1">
        <v>200409204</v>
      </c>
      <c r="D58" s="1" t="s">
        <v>131</v>
      </c>
      <c r="E58" s="1">
        <v>33</v>
      </c>
      <c r="F58" s="1">
        <v>1</v>
      </c>
      <c r="G58" s="1">
        <v>0</v>
      </c>
      <c r="H58" s="1">
        <v>1</v>
      </c>
      <c r="I58" s="1">
        <v>2021</v>
      </c>
      <c r="J58" s="1">
        <v>4</v>
      </c>
      <c r="K58" s="1" t="s">
        <v>0</v>
      </c>
      <c r="L58" s="1">
        <v>1</v>
      </c>
      <c r="M58" s="1">
        <v>30</v>
      </c>
      <c r="N58" s="1">
        <v>0</v>
      </c>
      <c r="O58" s="1">
        <v>44603.593078703707</v>
      </c>
      <c r="P58" s="1">
        <v>18553837</v>
      </c>
      <c r="Q58" s="1">
        <v>12568921</v>
      </c>
      <c r="R58" s="1">
        <v>5984916</v>
      </c>
      <c r="S58" s="1">
        <v>0</v>
      </c>
      <c r="T58" s="1">
        <v>2697374</v>
      </c>
      <c r="U58" s="1">
        <v>360460</v>
      </c>
      <c r="V58" s="1">
        <v>1193197</v>
      </c>
      <c r="W58" s="1">
        <v>1143717</v>
      </c>
      <c r="X58" s="1"/>
      <c r="Y58" s="1">
        <v>220078</v>
      </c>
      <c r="Z58" s="1">
        <v>3507620</v>
      </c>
      <c r="AA58" s="1">
        <v>0</v>
      </c>
      <c r="AB58" s="1">
        <v>62160</v>
      </c>
      <c r="AC58" s="1"/>
      <c r="AD58" s="1"/>
      <c r="AE58" s="1"/>
      <c r="AF58" s="1">
        <v>11396</v>
      </c>
      <c r="AG58" s="1">
        <v>50764</v>
      </c>
      <c r="AH58" s="1">
        <v>898792</v>
      </c>
      <c r="AI58" s="1">
        <v>898792</v>
      </c>
      <c r="AJ58" s="1"/>
      <c r="AK58" s="1"/>
      <c r="AL58" s="1"/>
      <c r="AM58" s="1">
        <v>2670988</v>
      </c>
      <c r="AN58" s="1">
        <v>0</v>
      </c>
      <c r="AO58" s="1"/>
      <c r="AP58" s="1"/>
      <c r="AQ58" s="1">
        <v>2670988</v>
      </c>
      <c r="AR58" s="1">
        <v>0</v>
      </c>
      <c r="AS58" s="1">
        <v>432567</v>
      </c>
      <c r="AT58" s="1"/>
      <c r="AU58" s="1">
        <v>2238421</v>
      </c>
      <c r="AV58" s="1">
        <v>0</v>
      </c>
    </row>
    <row r="59" spans="1:48" s="3" customFormat="1" ht="12" x14ac:dyDescent="0.2">
      <c r="A59" s="1">
        <v>20025</v>
      </c>
      <c r="B59" s="1">
        <v>0</v>
      </c>
      <c r="C59" s="1">
        <v>200409204</v>
      </c>
      <c r="D59" s="1" t="s">
        <v>131</v>
      </c>
      <c r="E59" s="1">
        <v>33</v>
      </c>
      <c r="F59" s="1">
        <v>1</v>
      </c>
      <c r="G59" s="1">
        <v>0</v>
      </c>
      <c r="H59" s="1">
        <v>1</v>
      </c>
      <c r="I59" s="1">
        <v>2020</v>
      </c>
      <c r="J59" s="1">
        <v>4</v>
      </c>
      <c r="K59" s="1" t="s">
        <v>0</v>
      </c>
      <c r="L59" s="1">
        <v>1</v>
      </c>
      <c r="M59" s="1">
        <v>30</v>
      </c>
      <c r="N59" s="1">
        <v>0</v>
      </c>
      <c r="O59" s="1">
        <v>44239.642928240741</v>
      </c>
      <c r="P59" s="1">
        <v>19566651</v>
      </c>
      <c r="Q59" s="1">
        <v>15140572</v>
      </c>
      <c r="R59" s="1">
        <v>4426079</v>
      </c>
      <c r="S59" s="1">
        <v>0</v>
      </c>
      <c r="T59" s="1">
        <v>1923526</v>
      </c>
      <c r="U59" s="1">
        <v>382440</v>
      </c>
      <c r="V59" s="1">
        <v>861280</v>
      </c>
      <c r="W59" s="1">
        <v>679806</v>
      </c>
      <c r="X59" s="1"/>
      <c r="Y59" s="1">
        <v>188820</v>
      </c>
      <c r="Z59" s="1">
        <v>2691373</v>
      </c>
      <c r="AA59" s="1">
        <v>0</v>
      </c>
      <c r="AB59" s="1">
        <v>241868</v>
      </c>
      <c r="AC59" s="1"/>
      <c r="AD59" s="1"/>
      <c r="AE59" s="1"/>
      <c r="AF59" s="1">
        <v>241868</v>
      </c>
      <c r="AG59" s="1"/>
      <c r="AH59" s="1">
        <v>622818</v>
      </c>
      <c r="AI59" s="1">
        <v>622818</v>
      </c>
      <c r="AJ59" s="1"/>
      <c r="AK59" s="1"/>
      <c r="AL59" s="1"/>
      <c r="AM59" s="1">
        <v>2310423</v>
      </c>
      <c r="AN59" s="1">
        <v>0</v>
      </c>
      <c r="AO59" s="1"/>
      <c r="AP59" s="1"/>
      <c r="AQ59" s="1">
        <v>2310423</v>
      </c>
      <c r="AR59" s="1">
        <v>0</v>
      </c>
      <c r="AS59" s="1">
        <v>373199</v>
      </c>
      <c r="AT59" s="1"/>
      <c r="AU59" s="1">
        <v>1937224</v>
      </c>
      <c r="AV59" s="1">
        <v>0</v>
      </c>
    </row>
    <row r="60" spans="1:48" s="3" customFormat="1" ht="12" x14ac:dyDescent="0.2">
      <c r="A60" s="1">
        <v>20025</v>
      </c>
      <c r="B60" s="1">
        <v>0</v>
      </c>
      <c r="C60" s="1">
        <v>200409204</v>
      </c>
      <c r="D60" s="1" t="s">
        <v>131</v>
      </c>
      <c r="E60" s="1">
        <v>33</v>
      </c>
      <c r="F60" s="1">
        <v>1</v>
      </c>
      <c r="G60" s="1">
        <v>0</v>
      </c>
      <c r="H60" s="1">
        <v>1</v>
      </c>
      <c r="I60" s="1">
        <v>2019</v>
      </c>
      <c r="J60" s="1">
        <v>4</v>
      </c>
      <c r="K60" s="1" t="s">
        <v>0</v>
      </c>
      <c r="L60" s="1">
        <v>1</v>
      </c>
      <c r="M60" s="1">
        <v>30</v>
      </c>
      <c r="N60" s="1">
        <v>0</v>
      </c>
      <c r="O60" s="1">
        <v>43871.589479166665</v>
      </c>
      <c r="P60" s="1">
        <v>9154203</v>
      </c>
      <c r="Q60" s="1">
        <v>6907306</v>
      </c>
      <c r="R60" s="1">
        <v>2246897</v>
      </c>
      <c r="S60" s="1">
        <v>0</v>
      </c>
      <c r="T60" s="1">
        <v>1587903</v>
      </c>
      <c r="U60" s="1">
        <v>202879</v>
      </c>
      <c r="V60" s="1">
        <v>851690</v>
      </c>
      <c r="W60" s="1">
        <v>533334</v>
      </c>
      <c r="X60" s="1"/>
      <c r="Y60" s="1">
        <v>87904</v>
      </c>
      <c r="Z60" s="1">
        <v>746898</v>
      </c>
      <c r="AA60" s="1">
        <v>0</v>
      </c>
      <c r="AB60" s="1">
        <v>40684</v>
      </c>
      <c r="AC60" s="1">
        <v>267</v>
      </c>
      <c r="AD60" s="1"/>
      <c r="AE60" s="1"/>
      <c r="AF60" s="1">
        <v>24094</v>
      </c>
      <c r="AG60" s="1">
        <v>16323</v>
      </c>
      <c r="AH60" s="1">
        <v>116010</v>
      </c>
      <c r="AI60" s="1">
        <v>115594</v>
      </c>
      <c r="AJ60" s="1"/>
      <c r="AK60" s="1">
        <v>416</v>
      </c>
      <c r="AL60" s="1"/>
      <c r="AM60" s="1">
        <v>671572</v>
      </c>
      <c r="AN60" s="1">
        <v>0</v>
      </c>
      <c r="AO60" s="1"/>
      <c r="AP60" s="1"/>
      <c r="AQ60" s="1">
        <v>671572</v>
      </c>
      <c r="AR60" s="1">
        <v>0</v>
      </c>
      <c r="AS60" s="1">
        <v>84543</v>
      </c>
      <c r="AT60" s="1"/>
      <c r="AU60" s="1">
        <v>587029</v>
      </c>
      <c r="AV60" s="1">
        <v>0</v>
      </c>
    </row>
    <row r="61" spans="1:48" s="3" customFormat="1" ht="12" x14ac:dyDescent="0.2">
      <c r="A61" s="1">
        <v>20025</v>
      </c>
      <c r="B61" s="1">
        <v>0</v>
      </c>
      <c r="C61" s="7">
        <v>200409204</v>
      </c>
      <c r="D61" s="1" t="s">
        <v>131</v>
      </c>
      <c r="E61" s="1">
        <v>33</v>
      </c>
      <c r="F61" s="1">
        <v>1</v>
      </c>
      <c r="G61" s="1">
        <v>0</v>
      </c>
      <c r="H61" s="1">
        <v>1</v>
      </c>
      <c r="I61" s="1">
        <v>2018</v>
      </c>
      <c r="J61" s="1">
        <v>4</v>
      </c>
      <c r="K61" s="1" t="s">
        <v>0</v>
      </c>
      <c r="L61" s="1">
        <v>1</v>
      </c>
      <c r="M61" s="1">
        <v>30</v>
      </c>
      <c r="N61" s="1">
        <v>0</v>
      </c>
      <c r="O61" s="1">
        <v>43507.722048611111</v>
      </c>
      <c r="P61" s="1">
        <v>10807949</v>
      </c>
      <c r="Q61" s="1">
        <v>7092160</v>
      </c>
      <c r="R61" s="2">
        <v>3715789</v>
      </c>
      <c r="S61" s="2">
        <v>0</v>
      </c>
      <c r="T61" s="1">
        <v>973968</v>
      </c>
      <c r="U61" s="1">
        <v>148502</v>
      </c>
      <c r="V61" s="1">
        <v>532670</v>
      </c>
      <c r="W61" s="1">
        <v>292796</v>
      </c>
      <c r="X61" s="1"/>
      <c r="Y61" s="1">
        <v>99552</v>
      </c>
      <c r="Z61" s="1">
        <v>2841373</v>
      </c>
      <c r="AA61" s="1">
        <v>0</v>
      </c>
      <c r="AB61" s="1">
        <v>147132</v>
      </c>
      <c r="AC61" s="1">
        <v>12674</v>
      </c>
      <c r="AD61" s="1">
        <v>30790</v>
      </c>
      <c r="AE61" s="1"/>
      <c r="AF61" s="1">
        <v>103668</v>
      </c>
      <c r="AG61" s="1"/>
      <c r="AH61" s="1">
        <v>72569</v>
      </c>
      <c r="AI61" s="1">
        <v>56086</v>
      </c>
      <c r="AJ61" s="1"/>
      <c r="AK61" s="1">
        <v>16483</v>
      </c>
      <c r="AL61" s="1"/>
      <c r="AM61" s="1">
        <v>2915936</v>
      </c>
      <c r="AN61" s="1">
        <v>0</v>
      </c>
      <c r="AO61" s="1"/>
      <c r="AP61" s="1"/>
      <c r="AQ61" s="1">
        <v>2915936</v>
      </c>
      <c r="AR61" s="1">
        <v>0</v>
      </c>
      <c r="AS61" s="1"/>
      <c r="AT61" s="1">
        <v>552732</v>
      </c>
      <c r="AU61" s="1">
        <v>2363204</v>
      </c>
      <c r="AV61" s="1">
        <v>0</v>
      </c>
    </row>
    <row r="62" spans="1:48" s="3" customFormat="1" ht="12" x14ac:dyDescent="0.2">
      <c r="A62" s="1">
        <v>20025</v>
      </c>
      <c r="B62" s="1">
        <v>0</v>
      </c>
      <c r="C62" s="1">
        <v>200426279</v>
      </c>
      <c r="D62" s="1" t="s">
        <v>132</v>
      </c>
      <c r="E62" s="1">
        <v>33</v>
      </c>
      <c r="F62" s="1">
        <v>11</v>
      </c>
      <c r="G62" s="1">
        <v>0</v>
      </c>
      <c r="H62" s="1">
        <v>1</v>
      </c>
      <c r="I62" s="1">
        <v>2021</v>
      </c>
      <c r="J62" s="1">
        <v>4</v>
      </c>
      <c r="K62" s="1" t="s">
        <v>0</v>
      </c>
      <c r="L62" s="1">
        <v>1</v>
      </c>
      <c r="M62" s="1">
        <v>30</v>
      </c>
      <c r="N62" s="1">
        <v>0</v>
      </c>
      <c r="O62" s="1">
        <v>44604.411238425928</v>
      </c>
      <c r="P62" s="1">
        <v>62633044</v>
      </c>
      <c r="Q62" s="1">
        <v>59532109</v>
      </c>
      <c r="R62" s="1">
        <v>3100935</v>
      </c>
      <c r="S62" s="1">
        <v>0</v>
      </c>
      <c r="T62" s="1">
        <v>4034646</v>
      </c>
      <c r="U62" s="1">
        <v>89488</v>
      </c>
      <c r="V62" s="1">
        <v>1637132</v>
      </c>
      <c r="W62" s="1">
        <v>2308026</v>
      </c>
      <c r="X62" s="1">
        <v>0</v>
      </c>
      <c r="Y62" s="1">
        <v>1168465</v>
      </c>
      <c r="Z62" s="1">
        <v>234754</v>
      </c>
      <c r="AA62" s="1">
        <v>0</v>
      </c>
      <c r="AB62" s="1">
        <v>68717</v>
      </c>
      <c r="AC62" s="1">
        <v>1514</v>
      </c>
      <c r="AD62" s="1">
        <v>67203</v>
      </c>
      <c r="AE62" s="1">
        <v>0</v>
      </c>
      <c r="AF62" s="1">
        <v>0</v>
      </c>
      <c r="AG62" s="1">
        <v>0</v>
      </c>
      <c r="AH62" s="1">
        <v>44385</v>
      </c>
      <c r="AI62" s="1">
        <v>27428</v>
      </c>
      <c r="AJ62" s="1">
        <v>0</v>
      </c>
      <c r="AK62" s="1">
        <v>16957</v>
      </c>
      <c r="AL62" s="1">
        <v>0</v>
      </c>
      <c r="AM62" s="1">
        <v>259086</v>
      </c>
      <c r="AN62" s="1">
        <v>0</v>
      </c>
      <c r="AO62" s="1">
        <v>0</v>
      </c>
      <c r="AP62" s="1">
        <v>0</v>
      </c>
      <c r="AQ62" s="1">
        <v>259086</v>
      </c>
      <c r="AR62" s="1">
        <v>0</v>
      </c>
      <c r="AS62" s="1">
        <v>49016</v>
      </c>
      <c r="AT62" s="1">
        <v>0</v>
      </c>
      <c r="AU62" s="1">
        <v>210070</v>
      </c>
      <c r="AV62" s="1">
        <v>0</v>
      </c>
    </row>
    <row r="63" spans="1:48" s="3" customFormat="1" ht="12" x14ac:dyDescent="0.2">
      <c r="A63" s="1">
        <v>20025</v>
      </c>
      <c r="B63" s="1">
        <v>0</v>
      </c>
      <c r="C63" s="1">
        <v>200426279</v>
      </c>
      <c r="D63" s="1" t="s">
        <v>132</v>
      </c>
      <c r="E63" s="1">
        <v>33</v>
      </c>
      <c r="F63" s="1">
        <v>11</v>
      </c>
      <c r="G63" s="1">
        <v>0</v>
      </c>
      <c r="H63" s="1">
        <v>1</v>
      </c>
      <c r="I63" s="1">
        <v>2020</v>
      </c>
      <c r="J63" s="1">
        <v>4</v>
      </c>
      <c r="K63" s="1" t="s">
        <v>0</v>
      </c>
      <c r="L63" s="1">
        <v>1</v>
      </c>
      <c r="M63" s="1">
        <v>30</v>
      </c>
      <c r="N63" s="1">
        <v>0</v>
      </c>
      <c r="O63" s="1">
        <v>44237.649629629632</v>
      </c>
      <c r="P63" s="1">
        <v>79424518</v>
      </c>
      <c r="Q63" s="1">
        <v>70087493</v>
      </c>
      <c r="R63" s="1">
        <v>9337025</v>
      </c>
      <c r="S63" s="1">
        <v>0</v>
      </c>
      <c r="T63" s="1">
        <v>9412491</v>
      </c>
      <c r="U63" s="1">
        <v>82188</v>
      </c>
      <c r="V63" s="1">
        <v>1613551</v>
      </c>
      <c r="W63" s="1">
        <v>7716752</v>
      </c>
      <c r="X63" s="1">
        <v>0</v>
      </c>
      <c r="Y63" s="1">
        <v>1255186</v>
      </c>
      <c r="Z63" s="1">
        <v>1179720</v>
      </c>
      <c r="AA63" s="1">
        <v>0</v>
      </c>
      <c r="AB63" s="1">
        <v>64838</v>
      </c>
      <c r="AC63" s="1">
        <v>7731</v>
      </c>
      <c r="AD63" s="1">
        <v>57107</v>
      </c>
      <c r="AE63" s="1">
        <v>0</v>
      </c>
      <c r="AF63" s="1">
        <v>0</v>
      </c>
      <c r="AG63" s="1">
        <v>0</v>
      </c>
      <c r="AH63" s="1">
        <v>318822</v>
      </c>
      <c r="AI63" s="1">
        <v>252345</v>
      </c>
      <c r="AJ63" s="1">
        <v>0</v>
      </c>
      <c r="AK63" s="1">
        <v>66477</v>
      </c>
      <c r="AL63" s="1">
        <v>0</v>
      </c>
      <c r="AM63" s="1">
        <v>925736</v>
      </c>
      <c r="AN63" s="1">
        <v>0</v>
      </c>
      <c r="AO63" s="1">
        <v>0</v>
      </c>
      <c r="AP63" s="1">
        <v>0</v>
      </c>
      <c r="AQ63" s="1">
        <v>925736</v>
      </c>
      <c r="AR63" s="1">
        <v>0</v>
      </c>
      <c r="AS63" s="1">
        <v>166417</v>
      </c>
      <c r="AT63" s="1">
        <v>0</v>
      </c>
      <c r="AU63" s="1">
        <v>759319</v>
      </c>
      <c r="AV63" s="1">
        <v>0</v>
      </c>
    </row>
    <row r="64" spans="1:48" s="3" customFormat="1" ht="12" x14ac:dyDescent="0.2">
      <c r="A64" s="1">
        <v>20025</v>
      </c>
      <c r="B64" s="1">
        <v>0</v>
      </c>
      <c r="C64" s="1">
        <v>200426279</v>
      </c>
      <c r="D64" s="1" t="s">
        <v>132</v>
      </c>
      <c r="E64" s="1">
        <v>33</v>
      </c>
      <c r="F64" s="1">
        <v>11</v>
      </c>
      <c r="G64" s="1">
        <v>0</v>
      </c>
      <c r="H64" s="1">
        <v>1</v>
      </c>
      <c r="I64" s="1">
        <v>2019</v>
      </c>
      <c r="J64" s="1">
        <v>4</v>
      </c>
      <c r="K64" s="1" t="s">
        <v>0</v>
      </c>
      <c r="L64" s="1">
        <v>2</v>
      </c>
      <c r="M64" s="1">
        <v>30</v>
      </c>
      <c r="N64" s="1">
        <v>0</v>
      </c>
      <c r="O64" s="1">
        <v>43939.528356481482</v>
      </c>
      <c r="P64" s="1">
        <v>57203873</v>
      </c>
      <c r="Q64" s="1">
        <v>42854596</v>
      </c>
      <c r="R64" s="1">
        <v>14349277</v>
      </c>
      <c r="S64" s="1">
        <v>0</v>
      </c>
      <c r="T64" s="1">
        <v>7078850</v>
      </c>
      <c r="U64" s="1">
        <v>74423</v>
      </c>
      <c r="V64" s="1">
        <v>1077270</v>
      </c>
      <c r="W64" s="1">
        <v>5927157</v>
      </c>
      <c r="X64" s="1">
        <v>0</v>
      </c>
      <c r="Y64" s="1">
        <v>0</v>
      </c>
      <c r="Z64" s="1">
        <v>7270427</v>
      </c>
      <c r="AA64" s="1">
        <v>0</v>
      </c>
      <c r="AB64" s="1">
        <v>326972</v>
      </c>
      <c r="AC64" s="1">
        <v>60000</v>
      </c>
      <c r="AD64" s="1">
        <v>73359</v>
      </c>
      <c r="AE64" s="1">
        <v>0</v>
      </c>
      <c r="AF64" s="1">
        <v>9471</v>
      </c>
      <c r="AG64" s="1">
        <v>184142</v>
      </c>
      <c r="AH64" s="1">
        <v>588435</v>
      </c>
      <c r="AI64" s="1">
        <v>579013</v>
      </c>
      <c r="AJ64" s="1">
        <v>0</v>
      </c>
      <c r="AK64" s="1">
        <v>9422</v>
      </c>
      <c r="AL64" s="1">
        <v>0</v>
      </c>
      <c r="AM64" s="1">
        <v>7008964</v>
      </c>
      <c r="AN64" s="1">
        <v>0</v>
      </c>
      <c r="AO64" s="1">
        <v>0</v>
      </c>
      <c r="AP64" s="1">
        <v>0</v>
      </c>
      <c r="AQ64" s="1">
        <v>7008964</v>
      </c>
      <c r="AR64" s="1">
        <v>0</v>
      </c>
      <c r="AS64" s="1">
        <v>706378</v>
      </c>
      <c r="AT64" s="1">
        <v>0</v>
      </c>
      <c r="AU64" s="1">
        <v>6302586</v>
      </c>
      <c r="AV64" s="1">
        <v>0</v>
      </c>
    </row>
    <row r="65" spans="1:48" s="3" customFormat="1" ht="12" x14ac:dyDescent="0.2">
      <c r="A65" s="1">
        <v>20025</v>
      </c>
      <c r="B65" s="1">
        <v>0</v>
      </c>
      <c r="C65" s="7">
        <v>200426279</v>
      </c>
      <c r="D65" s="1" t="s">
        <v>132</v>
      </c>
      <c r="E65" s="1">
        <v>33</v>
      </c>
      <c r="F65" s="1">
        <v>11</v>
      </c>
      <c r="G65" s="1">
        <v>0</v>
      </c>
      <c r="H65" s="1">
        <v>1</v>
      </c>
      <c r="I65" s="1">
        <v>2018</v>
      </c>
      <c r="J65" s="1">
        <v>4</v>
      </c>
      <c r="K65" s="1" t="s">
        <v>0</v>
      </c>
      <c r="L65" s="1">
        <v>2</v>
      </c>
      <c r="M65" s="1">
        <v>30</v>
      </c>
      <c r="N65" s="1">
        <v>0</v>
      </c>
      <c r="O65" s="1">
        <v>43542.392696759256</v>
      </c>
      <c r="P65" s="1">
        <v>48861321</v>
      </c>
      <c r="Q65" s="1">
        <v>38708885</v>
      </c>
      <c r="R65" s="2">
        <v>10152436</v>
      </c>
      <c r="S65" s="2">
        <v>0</v>
      </c>
      <c r="T65" s="1">
        <v>5355935</v>
      </c>
      <c r="U65" s="1">
        <v>165157</v>
      </c>
      <c r="V65" s="1">
        <v>613480</v>
      </c>
      <c r="W65" s="1">
        <v>4577298</v>
      </c>
      <c r="X65" s="1">
        <v>0</v>
      </c>
      <c r="Y65" s="1">
        <v>78390</v>
      </c>
      <c r="Z65" s="1">
        <v>4874891</v>
      </c>
      <c r="AA65" s="1">
        <v>0</v>
      </c>
      <c r="AB65" s="1">
        <v>19634</v>
      </c>
      <c r="AC65" s="1">
        <v>19634</v>
      </c>
      <c r="AD65" s="1">
        <v>0</v>
      </c>
      <c r="AE65" s="1">
        <v>0</v>
      </c>
      <c r="AF65" s="1">
        <v>0</v>
      </c>
      <c r="AG65" s="1">
        <v>0</v>
      </c>
      <c r="AH65" s="1">
        <v>2728632</v>
      </c>
      <c r="AI65" s="1">
        <v>2706702</v>
      </c>
      <c r="AJ65" s="1">
        <v>0</v>
      </c>
      <c r="AK65" s="1">
        <v>0</v>
      </c>
      <c r="AL65" s="1">
        <v>21930</v>
      </c>
      <c r="AM65" s="1">
        <v>2165893</v>
      </c>
      <c r="AN65" s="1">
        <v>0</v>
      </c>
      <c r="AO65" s="1">
        <v>0</v>
      </c>
      <c r="AP65" s="1">
        <v>0</v>
      </c>
      <c r="AQ65" s="1">
        <v>2165893</v>
      </c>
      <c r="AR65" s="1">
        <v>0</v>
      </c>
      <c r="AS65" s="1">
        <v>284070</v>
      </c>
      <c r="AT65" s="1">
        <v>0</v>
      </c>
      <c r="AU65" s="1">
        <v>1881823</v>
      </c>
      <c r="AV65" s="1">
        <v>0</v>
      </c>
    </row>
    <row r="66" spans="1:48" s="3" customFormat="1" ht="12" x14ac:dyDescent="0.2">
      <c r="A66" s="1">
        <v>20025</v>
      </c>
      <c r="B66" s="1">
        <v>0</v>
      </c>
      <c r="C66" s="1">
        <v>200465215</v>
      </c>
      <c r="D66" s="1" t="s">
        <v>133</v>
      </c>
      <c r="E66" s="1">
        <v>27</v>
      </c>
      <c r="F66" s="1">
        <v>19</v>
      </c>
      <c r="G66" s="1">
        <v>2</v>
      </c>
      <c r="H66" s="1">
        <v>1</v>
      </c>
      <c r="I66" s="1">
        <v>2021</v>
      </c>
      <c r="J66" s="1">
        <v>4</v>
      </c>
      <c r="K66" s="1" t="s">
        <v>0</v>
      </c>
      <c r="L66" s="1">
        <v>1</v>
      </c>
      <c r="M66" s="1">
        <v>30</v>
      </c>
      <c r="N66" s="1">
        <v>0</v>
      </c>
      <c r="O66" s="1">
        <v>44606.564849537041</v>
      </c>
      <c r="P66" s="1">
        <v>7896157</v>
      </c>
      <c r="Q66" s="1">
        <v>7185503</v>
      </c>
      <c r="R66" s="1">
        <v>710654</v>
      </c>
      <c r="S66" s="1">
        <v>0</v>
      </c>
      <c r="T66" s="1">
        <v>655105</v>
      </c>
      <c r="U66" s="1">
        <v>30907</v>
      </c>
      <c r="V66" s="1">
        <v>167178</v>
      </c>
      <c r="W66" s="1">
        <v>457020</v>
      </c>
      <c r="X66" s="1"/>
      <c r="Y66" s="1">
        <v>7157</v>
      </c>
      <c r="Z66" s="1">
        <v>62706</v>
      </c>
      <c r="AA66" s="1">
        <v>0</v>
      </c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>
        <v>62706</v>
      </c>
      <c r="AN66" s="1">
        <v>0</v>
      </c>
      <c r="AO66" s="1"/>
      <c r="AP66" s="1"/>
      <c r="AQ66" s="1">
        <v>62706</v>
      </c>
      <c r="AR66" s="1">
        <v>0</v>
      </c>
      <c r="AS66" s="1">
        <v>9406</v>
      </c>
      <c r="AT66" s="1"/>
      <c r="AU66" s="1">
        <v>53300</v>
      </c>
      <c r="AV66" s="1">
        <v>0</v>
      </c>
    </row>
    <row r="67" spans="1:48" s="3" customFormat="1" ht="12" x14ac:dyDescent="0.2">
      <c r="A67" s="1">
        <v>20025</v>
      </c>
      <c r="B67" s="1">
        <v>0</v>
      </c>
      <c r="C67" s="1">
        <v>200465215</v>
      </c>
      <c r="D67" s="1" t="s">
        <v>133</v>
      </c>
      <c r="E67" s="1">
        <v>27</v>
      </c>
      <c r="F67" s="1">
        <v>19</v>
      </c>
      <c r="G67" s="1">
        <v>2</v>
      </c>
      <c r="H67" s="1">
        <v>1</v>
      </c>
      <c r="I67" s="1">
        <v>2020</v>
      </c>
      <c r="J67" s="1">
        <v>4</v>
      </c>
      <c r="K67" s="1" t="s">
        <v>0</v>
      </c>
      <c r="L67" s="1">
        <v>1</v>
      </c>
      <c r="M67" s="1">
        <v>30</v>
      </c>
      <c r="N67" s="1">
        <v>0</v>
      </c>
      <c r="O67" s="1">
        <v>44242.915370370371</v>
      </c>
      <c r="P67" s="1">
        <v>11789878</v>
      </c>
      <c r="Q67" s="1">
        <v>11153224</v>
      </c>
      <c r="R67" s="1">
        <v>636654</v>
      </c>
      <c r="S67" s="1">
        <v>0</v>
      </c>
      <c r="T67" s="1">
        <v>4586036</v>
      </c>
      <c r="U67" s="1">
        <v>423611</v>
      </c>
      <c r="V67" s="1">
        <v>1719326</v>
      </c>
      <c r="W67" s="1">
        <v>2443099</v>
      </c>
      <c r="X67" s="1"/>
      <c r="Y67" s="1">
        <v>132622</v>
      </c>
      <c r="Z67" s="1">
        <v>0</v>
      </c>
      <c r="AA67" s="1">
        <v>3816760</v>
      </c>
      <c r="AB67" s="1">
        <v>0</v>
      </c>
      <c r="AC67" s="1"/>
      <c r="AD67" s="1"/>
      <c r="AE67" s="1"/>
      <c r="AF67" s="1"/>
      <c r="AG67" s="1"/>
      <c r="AH67" s="1">
        <v>0</v>
      </c>
      <c r="AI67" s="1">
        <v>0</v>
      </c>
      <c r="AJ67" s="1"/>
      <c r="AK67" s="1"/>
      <c r="AL67" s="1"/>
      <c r="AM67" s="1">
        <v>0</v>
      </c>
      <c r="AN67" s="1">
        <v>3816760</v>
      </c>
      <c r="AO67" s="1"/>
      <c r="AP67" s="1"/>
      <c r="AQ67" s="1">
        <v>0</v>
      </c>
      <c r="AR67" s="1">
        <v>3816760</v>
      </c>
      <c r="AS67" s="1"/>
      <c r="AT67" s="1"/>
      <c r="AU67" s="1">
        <v>-3816760</v>
      </c>
      <c r="AV67" s="1">
        <v>3816760</v>
      </c>
    </row>
    <row r="68" spans="1:48" s="3" customFormat="1" ht="12" x14ac:dyDescent="0.2">
      <c r="A68" s="1">
        <v>20025</v>
      </c>
      <c r="B68" s="1">
        <v>0</v>
      </c>
      <c r="C68" s="1">
        <v>200465215</v>
      </c>
      <c r="D68" s="1" t="s">
        <v>133</v>
      </c>
      <c r="E68" s="1">
        <v>27</v>
      </c>
      <c r="F68" s="1">
        <v>19</v>
      </c>
      <c r="G68" s="1">
        <v>2</v>
      </c>
      <c r="H68" s="1">
        <v>1</v>
      </c>
      <c r="I68" s="1">
        <v>2019</v>
      </c>
      <c r="J68" s="1">
        <v>4</v>
      </c>
      <c r="K68" s="1" t="s">
        <v>0</v>
      </c>
      <c r="L68" s="1">
        <v>1</v>
      </c>
      <c r="M68" s="1">
        <v>30</v>
      </c>
      <c r="N68" s="1">
        <v>0</v>
      </c>
      <c r="O68" s="1">
        <v>43985.730416666665</v>
      </c>
      <c r="P68" s="1">
        <v>15252184</v>
      </c>
      <c r="Q68" s="1">
        <v>13125293</v>
      </c>
      <c r="R68" s="1">
        <v>2126891</v>
      </c>
      <c r="S68" s="1">
        <v>0</v>
      </c>
      <c r="T68" s="1">
        <v>6187079</v>
      </c>
      <c r="U68" s="1">
        <v>473194</v>
      </c>
      <c r="V68" s="1">
        <v>1921562</v>
      </c>
      <c r="W68" s="1">
        <v>3792323</v>
      </c>
      <c r="X68" s="1"/>
      <c r="Y68" s="1">
        <v>2352794</v>
      </c>
      <c r="Z68" s="1">
        <v>0</v>
      </c>
      <c r="AA68" s="1">
        <v>1707394</v>
      </c>
      <c r="AB68" s="1">
        <v>14726</v>
      </c>
      <c r="AC68" s="1">
        <v>14726</v>
      </c>
      <c r="AD68" s="1"/>
      <c r="AE68" s="1"/>
      <c r="AF68" s="1"/>
      <c r="AG68" s="1"/>
      <c r="AH68" s="1">
        <v>415647</v>
      </c>
      <c r="AI68" s="1">
        <v>415647</v>
      </c>
      <c r="AJ68" s="1"/>
      <c r="AK68" s="1"/>
      <c r="AL68" s="1"/>
      <c r="AM68" s="1">
        <v>0</v>
      </c>
      <c r="AN68" s="1">
        <v>2108315</v>
      </c>
      <c r="AO68" s="1"/>
      <c r="AP68" s="1"/>
      <c r="AQ68" s="1">
        <v>0</v>
      </c>
      <c r="AR68" s="1">
        <v>2108315</v>
      </c>
      <c r="AS68" s="1"/>
      <c r="AT68" s="1"/>
      <c r="AU68" s="1">
        <v>-2108315</v>
      </c>
      <c r="AV68" s="1">
        <v>2108315</v>
      </c>
    </row>
    <row r="69" spans="1:48" s="3" customFormat="1" ht="12" x14ac:dyDescent="0.2">
      <c r="A69" s="1">
        <v>20025</v>
      </c>
      <c r="B69" s="1">
        <v>0</v>
      </c>
      <c r="C69" s="7">
        <v>200465215</v>
      </c>
      <c r="D69" s="1" t="s">
        <v>133</v>
      </c>
      <c r="E69" s="1">
        <v>27</v>
      </c>
      <c r="F69" s="1">
        <v>19</v>
      </c>
      <c r="G69" s="1">
        <v>2</v>
      </c>
      <c r="H69" s="1">
        <v>1</v>
      </c>
      <c r="I69" s="1">
        <v>2018</v>
      </c>
      <c r="J69" s="1">
        <v>4</v>
      </c>
      <c r="K69" s="1" t="s">
        <v>0</v>
      </c>
      <c r="L69" s="1">
        <v>1</v>
      </c>
      <c r="M69" s="1">
        <v>30</v>
      </c>
      <c r="N69" s="1">
        <v>0</v>
      </c>
      <c r="O69" s="1">
        <v>43511.929930555554</v>
      </c>
      <c r="P69" s="1">
        <v>25076723</v>
      </c>
      <c r="Q69" s="1">
        <v>21254517</v>
      </c>
      <c r="R69" s="2">
        <v>3822206</v>
      </c>
      <c r="S69" s="2">
        <v>0</v>
      </c>
      <c r="T69" s="1">
        <v>4392126</v>
      </c>
      <c r="U69" s="1">
        <v>249442</v>
      </c>
      <c r="V69" s="1">
        <v>1228039</v>
      </c>
      <c r="W69" s="1">
        <v>2914645</v>
      </c>
      <c r="X69" s="1"/>
      <c r="Y69" s="1">
        <v>901323</v>
      </c>
      <c r="Z69" s="1">
        <v>331403</v>
      </c>
      <c r="AA69" s="1">
        <v>0</v>
      </c>
      <c r="AB69" s="1">
        <v>13094</v>
      </c>
      <c r="AC69" s="1">
        <v>10463</v>
      </c>
      <c r="AD69" s="1"/>
      <c r="AE69" s="1"/>
      <c r="AF69" s="1">
        <v>2631</v>
      </c>
      <c r="AG69" s="1"/>
      <c r="AH69" s="1">
        <v>1153002</v>
      </c>
      <c r="AI69" s="1">
        <v>889930</v>
      </c>
      <c r="AJ69" s="1"/>
      <c r="AK69" s="1">
        <v>263072</v>
      </c>
      <c r="AL69" s="1"/>
      <c r="AM69" s="1">
        <v>0</v>
      </c>
      <c r="AN69" s="1">
        <v>808505</v>
      </c>
      <c r="AO69" s="1"/>
      <c r="AP69" s="1"/>
      <c r="AQ69" s="1">
        <v>0</v>
      </c>
      <c r="AR69" s="1">
        <v>808505</v>
      </c>
      <c r="AS69" s="1"/>
      <c r="AT69" s="1"/>
      <c r="AU69" s="1">
        <v>-808505</v>
      </c>
      <c r="AV69" s="1">
        <v>808505</v>
      </c>
    </row>
    <row r="70" spans="1:48" s="3" customFormat="1" ht="12" x14ac:dyDescent="0.2">
      <c r="A70" s="1">
        <v>20025</v>
      </c>
      <c r="B70" s="1">
        <v>0</v>
      </c>
      <c r="C70" s="1">
        <v>200479996</v>
      </c>
      <c r="D70" s="1" t="s">
        <v>134</v>
      </c>
      <c r="E70" s="1">
        <v>22</v>
      </c>
      <c r="F70" s="1">
        <v>7</v>
      </c>
      <c r="G70" s="1">
        <v>0</v>
      </c>
      <c r="H70" s="1">
        <v>1</v>
      </c>
      <c r="I70" s="1">
        <v>2021</v>
      </c>
      <c r="J70" s="1">
        <v>4</v>
      </c>
      <c r="K70" s="1" t="s">
        <v>0</v>
      </c>
      <c r="L70" s="1">
        <v>1</v>
      </c>
      <c r="M70" s="1">
        <v>30</v>
      </c>
      <c r="N70" s="1">
        <v>0</v>
      </c>
      <c r="O70" s="1">
        <v>44607.689918981479</v>
      </c>
      <c r="P70" s="1">
        <v>50909955</v>
      </c>
      <c r="Q70" s="1">
        <v>48849026</v>
      </c>
      <c r="R70" s="1">
        <v>2060929</v>
      </c>
      <c r="S70" s="1">
        <v>0</v>
      </c>
      <c r="T70" s="1">
        <v>6942785</v>
      </c>
      <c r="U70" s="1">
        <v>862756</v>
      </c>
      <c r="V70" s="1">
        <v>1553632</v>
      </c>
      <c r="W70" s="1">
        <v>4526397</v>
      </c>
      <c r="X70" s="1"/>
      <c r="Y70" s="1">
        <v>551168</v>
      </c>
      <c r="Z70" s="1">
        <v>0</v>
      </c>
      <c r="AA70" s="1">
        <v>4330688</v>
      </c>
      <c r="AB70" s="1">
        <v>948</v>
      </c>
      <c r="AC70" s="1">
        <v>353</v>
      </c>
      <c r="AD70" s="1"/>
      <c r="AE70" s="1"/>
      <c r="AF70" s="1">
        <v>595</v>
      </c>
      <c r="AG70" s="1"/>
      <c r="AH70" s="1">
        <v>6805480</v>
      </c>
      <c r="AI70" s="1">
        <v>6797202</v>
      </c>
      <c r="AJ70" s="1"/>
      <c r="AK70" s="1">
        <v>8278</v>
      </c>
      <c r="AL70" s="1"/>
      <c r="AM70" s="1">
        <v>0</v>
      </c>
      <c r="AN70" s="1">
        <v>11135220</v>
      </c>
      <c r="AO70" s="1"/>
      <c r="AP70" s="1"/>
      <c r="AQ70" s="1">
        <v>0</v>
      </c>
      <c r="AR70" s="1">
        <v>11135220</v>
      </c>
      <c r="AS70" s="1"/>
      <c r="AT70" s="1"/>
      <c r="AU70" s="1">
        <v>-11135220</v>
      </c>
      <c r="AV70" s="1">
        <v>11135220</v>
      </c>
    </row>
    <row r="71" spans="1:48" s="3" customFormat="1" ht="12" x14ac:dyDescent="0.2">
      <c r="A71" s="1">
        <v>20025</v>
      </c>
      <c r="B71" s="1">
        <v>0</v>
      </c>
      <c r="C71" s="1">
        <v>200479996</v>
      </c>
      <c r="D71" s="1" t="s">
        <v>134</v>
      </c>
      <c r="E71" s="1">
        <v>22</v>
      </c>
      <c r="F71" s="1">
        <v>7</v>
      </c>
      <c r="G71" s="1">
        <v>0</v>
      </c>
      <c r="H71" s="1">
        <v>1</v>
      </c>
      <c r="I71" s="1">
        <v>2020</v>
      </c>
      <c r="J71" s="1">
        <v>4</v>
      </c>
      <c r="K71" s="1" t="s">
        <v>0</v>
      </c>
      <c r="L71" s="1">
        <v>3</v>
      </c>
      <c r="M71" s="1">
        <v>30</v>
      </c>
      <c r="N71" s="1">
        <v>0</v>
      </c>
      <c r="O71" s="1">
        <v>44607.690613425926</v>
      </c>
      <c r="P71" s="1">
        <v>98444797.129999995</v>
      </c>
      <c r="Q71" s="1">
        <v>93527555.019999996</v>
      </c>
      <c r="R71" s="1">
        <v>4917242.1100000003</v>
      </c>
      <c r="S71" s="1">
        <v>0</v>
      </c>
      <c r="T71" s="1">
        <v>8090843.6500000004</v>
      </c>
      <c r="U71" s="1">
        <v>1594845.26</v>
      </c>
      <c r="V71" s="1">
        <v>2023230.1</v>
      </c>
      <c r="W71" s="1">
        <v>4472768.29</v>
      </c>
      <c r="X71" s="1"/>
      <c r="Y71" s="1">
        <v>523116.5</v>
      </c>
      <c r="Z71" s="1">
        <v>0</v>
      </c>
      <c r="AA71" s="1">
        <v>2650485.04</v>
      </c>
      <c r="AB71" s="1">
        <v>818470.53</v>
      </c>
      <c r="AC71" s="1"/>
      <c r="AD71" s="1"/>
      <c r="AE71" s="1"/>
      <c r="AF71" s="1">
        <v>818470.53</v>
      </c>
      <c r="AG71" s="1"/>
      <c r="AH71" s="1">
        <v>8405981</v>
      </c>
      <c r="AI71" s="1">
        <v>7646156.8399999999</v>
      </c>
      <c r="AJ71" s="1"/>
      <c r="AK71" s="1">
        <v>759824.16</v>
      </c>
      <c r="AL71" s="1"/>
      <c r="AM71" s="1">
        <v>0</v>
      </c>
      <c r="AN71" s="1">
        <v>10237995.51</v>
      </c>
      <c r="AO71" s="1"/>
      <c r="AP71" s="1"/>
      <c r="AQ71" s="1">
        <v>0</v>
      </c>
      <c r="AR71" s="1">
        <v>10237995.51</v>
      </c>
      <c r="AS71" s="1"/>
      <c r="AT71" s="1"/>
      <c r="AU71" s="1">
        <v>-10237995.51</v>
      </c>
      <c r="AV71" s="1">
        <v>10237995.51</v>
      </c>
    </row>
    <row r="72" spans="1:48" s="3" customFormat="1" ht="12" x14ac:dyDescent="0.2">
      <c r="A72" s="1">
        <v>20025</v>
      </c>
      <c r="B72" s="1">
        <v>0</v>
      </c>
      <c r="C72" s="1">
        <v>200479996</v>
      </c>
      <c r="D72" s="1" t="s">
        <v>134</v>
      </c>
      <c r="E72" s="1">
        <v>22</v>
      </c>
      <c r="F72" s="1">
        <v>7</v>
      </c>
      <c r="G72" s="1">
        <v>0</v>
      </c>
      <c r="H72" s="1">
        <v>1</v>
      </c>
      <c r="I72" s="1">
        <v>2019</v>
      </c>
      <c r="J72" s="1">
        <v>4</v>
      </c>
      <c r="K72" s="1" t="s">
        <v>0</v>
      </c>
      <c r="L72" s="1">
        <v>1</v>
      </c>
      <c r="M72" s="1">
        <v>30</v>
      </c>
      <c r="N72" s="1">
        <v>0</v>
      </c>
      <c r="O72" s="1">
        <v>43875.421759259261</v>
      </c>
      <c r="P72" s="1">
        <v>87494883</v>
      </c>
      <c r="Q72" s="1">
        <v>68601961</v>
      </c>
      <c r="R72" s="1">
        <v>18892922</v>
      </c>
      <c r="S72" s="1">
        <v>0</v>
      </c>
      <c r="T72" s="1">
        <v>15097249</v>
      </c>
      <c r="U72" s="1">
        <v>1744558</v>
      </c>
      <c r="V72" s="1">
        <v>1752717</v>
      </c>
      <c r="W72" s="1">
        <v>11599974</v>
      </c>
      <c r="X72" s="1"/>
      <c r="Y72" s="1">
        <v>766468</v>
      </c>
      <c r="Z72" s="1">
        <v>4562141</v>
      </c>
      <c r="AA72" s="1">
        <v>0</v>
      </c>
      <c r="AB72" s="1">
        <v>535541</v>
      </c>
      <c r="AC72" s="1"/>
      <c r="AD72" s="1">
        <v>159672</v>
      </c>
      <c r="AE72" s="1"/>
      <c r="AF72" s="1">
        <v>375869</v>
      </c>
      <c r="AG72" s="1"/>
      <c r="AH72" s="1">
        <v>4962455</v>
      </c>
      <c r="AI72" s="1">
        <v>4921094</v>
      </c>
      <c r="AJ72" s="1"/>
      <c r="AK72" s="1">
        <v>41361</v>
      </c>
      <c r="AL72" s="1"/>
      <c r="AM72" s="1">
        <v>135227</v>
      </c>
      <c r="AN72" s="1">
        <v>0</v>
      </c>
      <c r="AO72" s="1"/>
      <c r="AP72" s="1"/>
      <c r="AQ72" s="1">
        <v>135227</v>
      </c>
      <c r="AR72" s="1">
        <v>0</v>
      </c>
      <c r="AS72" s="1">
        <v>16227</v>
      </c>
      <c r="AT72" s="1"/>
      <c r="AU72" s="1">
        <v>119000</v>
      </c>
      <c r="AV72" s="1">
        <v>0</v>
      </c>
    </row>
    <row r="73" spans="1:48" s="3" customFormat="1" ht="12" x14ac:dyDescent="0.2">
      <c r="A73" s="1">
        <v>20025</v>
      </c>
      <c r="B73" s="1">
        <v>0</v>
      </c>
      <c r="C73" s="7">
        <v>200479996</v>
      </c>
      <c r="D73" s="1" t="s">
        <v>134</v>
      </c>
      <c r="E73" s="1">
        <v>22</v>
      </c>
      <c r="F73" s="1">
        <v>7</v>
      </c>
      <c r="G73" s="1">
        <v>0</v>
      </c>
      <c r="H73" s="1">
        <v>1</v>
      </c>
      <c r="I73" s="1">
        <v>2018</v>
      </c>
      <c r="J73" s="1">
        <v>4</v>
      </c>
      <c r="K73" s="1" t="s">
        <v>0</v>
      </c>
      <c r="L73" s="1">
        <v>1</v>
      </c>
      <c r="M73" s="1">
        <v>30</v>
      </c>
      <c r="N73" s="1">
        <v>0</v>
      </c>
      <c r="O73" s="1">
        <v>43513.512152777781</v>
      </c>
      <c r="P73" s="1">
        <v>100988517</v>
      </c>
      <c r="Q73" s="1">
        <v>63153927</v>
      </c>
      <c r="R73" s="2">
        <v>37834590</v>
      </c>
      <c r="S73" s="2">
        <v>0</v>
      </c>
      <c r="T73" s="1">
        <v>25712581</v>
      </c>
      <c r="U73" s="1">
        <v>2194734</v>
      </c>
      <c r="V73" s="1">
        <v>1293174</v>
      </c>
      <c r="W73" s="1">
        <v>22224673</v>
      </c>
      <c r="X73" s="1">
        <v>0</v>
      </c>
      <c r="Y73" s="1">
        <v>2560327</v>
      </c>
      <c r="Z73" s="1">
        <v>14682336</v>
      </c>
      <c r="AA73" s="1">
        <v>0</v>
      </c>
      <c r="AB73" s="1">
        <v>64658</v>
      </c>
      <c r="AC73" s="1">
        <v>338</v>
      </c>
      <c r="AD73" s="1"/>
      <c r="AE73" s="1"/>
      <c r="AF73" s="1">
        <v>64320</v>
      </c>
      <c r="AG73" s="1"/>
      <c r="AH73" s="1">
        <v>3055077</v>
      </c>
      <c r="AI73" s="1">
        <v>3031004</v>
      </c>
      <c r="AJ73" s="1"/>
      <c r="AK73" s="1">
        <v>24073</v>
      </c>
      <c r="AL73" s="1">
        <v>0</v>
      </c>
      <c r="AM73" s="1">
        <v>11691917</v>
      </c>
      <c r="AN73" s="1">
        <v>0</v>
      </c>
      <c r="AO73" s="1">
        <v>0</v>
      </c>
      <c r="AP73" s="1">
        <v>0</v>
      </c>
      <c r="AQ73" s="1">
        <v>11691917</v>
      </c>
      <c r="AR73" s="1">
        <v>0</v>
      </c>
      <c r="AS73" s="1">
        <v>1636868</v>
      </c>
      <c r="AT73" s="1"/>
      <c r="AU73" s="1">
        <v>10055049</v>
      </c>
      <c r="AV73" s="1">
        <v>0</v>
      </c>
    </row>
    <row r="74" spans="1:48" s="3" customFormat="1" ht="12" x14ac:dyDescent="0.2">
      <c r="A74" s="1">
        <v>20025</v>
      </c>
      <c r="B74" s="1">
        <v>0</v>
      </c>
      <c r="C74" s="1">
        <v>200523324</v>
      </c>
      <c r="D74" s="1" t="s">
        <v>135</v>
      </c>
      <c r="E74" s="1">
        <v>26</v>
      </c>
      <c r="F74" s="1">
        <v>2</v>
      </c>
      <c r="G74" s="1">
        <v>0</v>
      </c>
      <c r="H74" s="1">
        <v>1</v>
      </c>
      <c r="I74" s="1">
        <v>2021</v>
      </c>
      <c r="J74" s="1">
        <v>4</v>
      </c>
      <c r="K74" s="1" t="s">
        <v>0</v>
      </c>
      <c r="L74" s="1">
        <v>2</v>
      </c>
      <c r="M74" s="1">
        <v>30</v>
      </c>
      <c r="N74" s="1">
        <v>0</v>
      </c>
      <c r="O74" s="1">
        <v>44739.706134259257</v>
      </c>
      <c r="P74" s="1"/>
      <c r="Q74" s="1"/>
      <c r="R74" s="1"/>
      <c r="S74" s="1"/>
      <c r="T74" s="1">
        <v>1983141.34</v>
      </c>
      <c r="U74" s="1"/>
      <c r="V74" s="1">
        <v>633603.47</v>
      </c>
      <c r="W74" s="1">
        <v>1349537.87</v>
      </c>
      <c r="X74" s="1"/>
      <c r="Y74" s="1">
        <v>963175.69</v>
      </c>
      <c r="Z74" s="1">
        <v>0</v>
      </c>
      <c r="AA74" s="1">
        <v>1019965.65</v>
      </c>
      <c r="AB74" s="1">
        <v>1588877.69</v>
      </c>
      <c r="AC74" s="1"/>
      <c r="AD74" s="1"/>
      <c r="AE74" s="1"/>
      <c r="AF74" s="1"/>
      <c r="AG74" s="1">
        <v>1588877.69</v>
      </c>
      <c r="AH74" s="1">
        <v>517997.04</v>
      </c>
      <c r="AI74" s="1"/>
      <c r="AJ74" s="1"/>
      <c r="AK74" s="1"/>
      <c r="AL74" s="1">
        <v>517997.04</v>
      </c>
      <c r="AM74" s="1">
        <v>50915</v>
      </c>
      <c r="AN74" s="1">
        <v>0</v>
      </c>
      <c r="AO74" s="1"/>
      <c r="AP74" s="1"/>
      <c r="AQ74" s="1">
        <v>50915</v>
      </c>
      <c r="AR74" s="1">
        <v>0</v>
      </c>
      <c r="AS74" s="1"/>
      <c r="AT74" s="1"/>
      <c r="AU74" s="1">
        <v>50915</v>
      </c>
      <c r="AV74" s="1">
        <v>0</v>
      </c>
    </row>
    <row r="75" spans="1:48" s="3" customFormat="1" ht="12" x14ac:dyDescent="0.2">
      <c r="A75" s="1">
        <v>20025</v>
      </c>
      <c r="B75" s="1">
        <v>0</v>
      </c>
      <c r="C75" s="1">
        <v>200523324</v>
      </c>
      <c r="D75" s="1" t="s">
        <v>135</v>
      </c>
      <c r="E75" s="1">
        <v>26</v>
      </c>
      <c r="F75" s="1">
        <v>2</v>
      </c>
      <c r="G75" s="1">
        <v>0</v>
      </c>
      <c r="H75" s="1">
        <v>1</v>
      </c>
      <c r="I75" s="1">
        <v>2020</v>
      </c>
      <c r="J75" s="1">
        <v>4</v>
      </c>
      <c r="K75" s="1" t="s">
        <v>0</v>
      </c>
      <c r="L75" s="1">
        <v>2</v>
      </c>
      <c r="M75" s="1">
        <v>30</v>
      </c>
      <c r="N75" s="1">
        <v>0</v>
      </c>
      <c r="O75" s="1">
        <v>44672.570219907408</v>
      </c>
      <c r="P75" s="1"/>
      <c r="Q75" s="1"/>
      <c r="R75" s="1"/>
      <c r="S75" s="1"/>
      <c r="T75" s="1">
        <v>944616</v>
      </c>
      <c r="U75" s="1">
        <v>345576</v>
      </c>
      <c r="V75" s="1">
        <v>599040</v>
      </c>
      <c r="W75" s="1"/>
      <c r="X75" s="1"/>
      <c r="Y75" s="1">
        <v>160617</v>
      </c>
      <c r="Z75" s="1">
        <v>0</v>
      </c>
      <c r="AA75" s="1">
        <v>783999</v>
      </c>
      <c r="AB75" s="1">
        <v>931926</v>
      </c>
      <c r="AC75" s="1">
        <v>931926</v>
      </c>
      <c r="AD75" s="1"/>
      <c r="AE75" s="1"/>
      <c r="AF75" s="1"/>
      <c r="AG75" s="1"/>
      <c r="AH75" s="1">
        <v>13</v>
      </c>
      <c r="AI75" s="1">
        <v>13</v>
      </c>
      <c r="AJ75" s="1"/>
      <c r="AK75" s="1"/>
      <c r="AL75" s="1"/>
      <c r="AM75" s="1">
        <v>147914</v>
      </c>
      <c r="AN75" s="1">
        <v>0</v>
      </c>
      <c r="AO75" s="1"/>
      <c r="AP75" s="1"/>
      <c r="AQ75" s="1">
        <v>147914</v>
      </c>
      <c r="AR75" s="1">
        <v>0</v>
      </c>
      <c r="AS75" s="1">
        <v>22188</v>
      </c>
      <c r="AT75" s="1"/>
      <c r="AU75" s="1">
        <v>125726</v>
      </c>
      <c r="AV75" s="1">
        <v>0</v>
      </c>
    </row>
    <row r="76" spans="1:48" s="3" customFormat="1" ht="12" x14ac:dyDescent="0.2">
      <c r="A76" s="1">
        <v>20025</v>
      </c>
      <c r="B76" s="1">
        <v>0</v>
      </c>
      <c r="C76" s="1">
        <v>200523324</v>
      </c>
      <c r="D76" s="1" t="s">
        <v>135</v>
      </c>
      <c r="E76" s="1">
        <v>26</v>
      </c>
      <c r="F76" s="1">
        <v>2</v>
      </c>
      <c r="G76" s="1">
        <v>0</v>
      </c>
      <c r="H76" s="1">
        <v>1</v>
      </c>
      <c r="I76" s="1">
        <v>2019</v>
      </c>
      <c r="J76" s="1">
        <v>4</v>
      </c>
      <c r="K76" s="1" t="s">
        <v>0</v>
      </c>
      <c r="L76" s="1">
        <v>1</v>
      </c>
      <c r="M76" s="1">
        <v>30</v>
      </c>
      <c r="N76" s="1">
        <v>0</v>
      </c>
      <c r="O76" s="1">
        <v>43876.584467592591</v>
      </c>
      <c r="P76" s="1">
        <v>0</v>
      </c>
      <c r="Q76" s="1">
        <v>0</v>
      </c>
      <c r="R76" s="1">
        <v>0</v>
      </c>
      <c r="S76" s="1">
        <v>0</v>
      </c>
      <c r="T76" s="1">
        <v>821672</v>
      </c>
      <c r="U76" s="1"/>
      <c r="V76" s="1">
        <v>396902</v>
      </c>
      <c r="W76" s="1">
        <v>424770</v>
      </c>
      <c r="X76" s="1"/>
      <c r="Y76" s="1">
        <v>1529276</v>
      </c>
      <c r="Z76" s="1">
        <v>707604</v>
      </c>
      <c r="AA76" s="1">
        <v>0</v>
      </c>
      <c r="AB76" s="1">
        <v>1350589</v>
      </c>
      <c r="AC76" s="1">
        <v>1350589</v>
      </c>
      <c r="AD76" s="1"/>
      <c r="AE76" s="1"/>
      <c r="AF76" s="1"/>
      <c r="AG76" s="1"/>
      <c r="AH76" s="1">
        <v>0</v>
      </c>
      <c r="AI76" s="1"/>
      <c r="AJ76" s="1"/>
      <c r="AK76" s="1"/>
      <c r="AL76" s="1"/>
      <c r="AM76" s="1">
        <v>2058193</v>
      </c>
      <c r="AN76" s="1">
        <v>0</v>
      </c>
      <c r="AO76" s="1"/>
      <c r="AP76" s="1"/>
      <c r="AQ76" s="1">
        <v>2058193</v>
      </c>
      <c r="AR76" s="1">
        <v>0</v>
      </c>
      <c r="AS76" s="1">
        <v>92562</v>
      </c>
      <c r="AT76" s="1"/>
      <c r="AU76" s="1">
        <v>1965631</v>
      </c>
      <c r="AV76" s="1">
        <v>0</v>
      </c>
    </row>
    <row r="77" spans="1:48" s="3" customFormat="1" ht="12" x14ac:dyDescent="0.2">
      <c r="A77" s="1">
        <v>20025</v>
      </c>
      <c r="B77" s="1">
        <v>0</v>
      </c>
      <c r="C77" s="7">
        <v>200523324</v>
      </c>
      <c r="D77" s="1" t="s">
        <v>135</v>
      </c>
      <c r="E77" s="1">
        <v>26</v>
      </c>
      <c r="F77" s="1">
        <v>2</v>
      </c>
      <c r="G77" s="1">
        <v>0</v>
      </c>
      <c r="H77" s="1">
        <v>1</v>
      </c>
      <c r="I77" s="1">
        <v>2018</v>
      </c>
      <c r="J77" s="1">
        <v>4</v>
      </c>
      <c r="K77" s="1" t="s">
        <v>0</v>
      </c>
      <c r="L77" s="1">
        <v>1</v>
      </c>
      <c r="M77" s="1">
        <v>30</v>
      </c>
      <c r="N77" s="1">
        <v>0</v>
      </c>
      <c r="O77" s="1">
        <v>43508.656678240739</v>
      </c>
      <c r="P77" s="1">
        <v>0</v>
      </c>
      <c r="Q77" s="1">
        <v>0</v>
      </c>
      <c r="R77" s="2">
        <v>0</v>
      </c>
      <c r="S77" s="2">
        <v>0</v>
      </c>
      <c r="T77" s="1">
        <v>1042761</v>
      </c>
      <c r="U77" s="1"/>
      <c r="V77" s="1">
        <v>405267</v>
      </c>
      <c r="W77" s="1">
        <v>637494</v>
      </c>
      <c r="X77" s="1"/>
      <c r="Y77" s="1">
        <v>483655</v>
      </c>
      <c r="Z77" s="1">
        <v>0</v>
      </c>
      <c r="AA77" s="1">
        <v>559106</v>
      </c>
      <c r="AB77" s="1">
        <v>1131056</v>
      </c>
      <c r="AC77" s="1">
        <v>1128361</v>
      </c>
      <c r="AD77" s="1">
        <v>31</v>
      </c>
      <c r="AE77" s="1"/>
      <c r="AF77" s="1">
        <v>2664</v>
      </c>
      <c r="AG77" s="1"/>
      <c r="AH77" s="1">
        <v>825</v>
      </c>
      <c r="AI77" s="1"/>
      <c r="AJ77" s="1"/>
      <c r="AK77" s="1">
        <v>825</v>
      </c>
      <c r="AL77" s="1"/>
      <c r="AM77" s="1">
        <v>571125</v>
      </c>
      <c r="AN77" s="1">
        <v>0</v>
      </c>
      <c r="AO77" s="1"/>
      <c r="AP77" s="1"/>
      <c r="AQ77" s="1">
        <v>571125</v>
      </c>
      <c r="AR77" s="1">
        <v>0</v>
      </c>
      <c r="AS77" s="1"/>
      <c r="AT77" s="1"/>
      <c r="AU77" s="1">
        <v>571125</v>
      </c>
      <c r="AV77" s="1">
        <v>0</v>
      </c>
    </row>
    <row r="78" spans="1:48" s="3" customFormat="1" ht="12" x14ac:dyDescent="0.2">
      <c r="A78" s="1">
        <v>20025</v>
      </c>
      <c r="B78" s="1">
        <v>0</v>
      </c>
      <c r="C78" s="1">
        <v>200547509</v>
      </c>
      <c r="D78" s="1" t="s">
        <v>136</v>
      </c>
      <c r="E78" s="1">
        <v>26</v>
      </c>
      <c r="F78" s="1">
        <v>8</v>
      </c>
      <c r="G78" s="1">
        <v>0</v>
      </c>
      <c r="H78" s="1">
        <v>1</v>
      </c>
      <c r="I78" s="1">
        <v>2021</v>
      </c>
      <c r="J78" s="1">
        <v>4</v>
      </c>
      <c r="K78" s="1" t="s">
        <v>0</v>
      </c>
      <c r="L78" s="1">
        <v>1</v>
      </c>
      <c r="M78" s="1">
        <v>30</v>
      </c>
      <c r="N78" s="1">
        <v>0</v>
      </c>
      <c r="O78" s="1">
        <v>44607.620520833334</v>
      </c>
      <c r="P78" s="1">
        <v>30078.55</v>
      </c>
      <c r="Q78" s="1"/>
      <c r="R78" s="1">
        <v>30078.55</v>
      </c>
      <c r="S78" s="1">
        <v>0</v>
      </c>
      <c r="T78" s="1">
        <v>1664674.39</v>
      </c>
      <c r="U78" s="1"/>
      <c r="V78" s="1">
        <v>341437.23</v>
      </c>
      <c r="W78" s="1">
        <v>1323237.1599999999</v>
      </c>
      <c r="X78" s="1"/>
      <c r="Y78" s="1">
        <v>1132789.74</v>
      </c>
      <c r="Z78" s="1">
        <v>0</v>
      </c>
      <c r="AA78" s="1">
        <v>501806.1</v>
      </c>
      <c r="AB78" s="1">
        <v>33.119999999999997</v>
      </c>
      <c r="AC78" s="1"/>
      <c r="AD78" s="1"/>
      <c r="AE78" s="1"/>
      <c r="AF78" s="1">
        <v>33.119999999999997</v>
      </c>
      <c r="AG78" s="1">
        <v>0</v>
      </c>
      <c r="AH78" s="1">
        <v>6.56</v>
      </c>
      <c r="AI78" s="1"/>
      <c r="AJ78" s="1"/>
      <c r="AK78" s="1">
        <v>6.56</v>
      </c>
      <c r="AL78" s="1"/>
      <c r="AM78" s="1">
        <v>0</v>
      </c>
      <c r="AN78" s="1">
        <v>501779.54</v>
      </c>
      <c r="AO78" s="1"/>
      <c r="AP78" s="1"/>
      <c r="AQ78" s="1">
        <v>0</v>
      </c>
      <c r="AR78" s="1">
        <v>501779.54</v>
      </c>
      <c r="AS78" s="1"/>
      <c r="AT78" s="1"/>
      <c r="AU78" s="1">
        <v>-501779.54</v>
      </c>
      <c r="AV78" s="1">
        <v>501779.54</v>
      </c>
    </row>
    <row r="79" spans="1:48" s="3" customFormat="1" ht="12" x14ac:dyDescent="0.2">
      <c r="A79" s="1">
        <v>20025</v>
      </c>
      <c r="B79" s="1">
        <v>0</v>
      </c>
      <c r="C79" s="1">
        <v>200547509</v>
      </c>
      <c r="D79" s="1" t="s">
        <v>136</v>
      </c>
      <c r="E79" s="1">
        <v>26</v>
      </c>
      <c r="F79" s="1">
        <v>8</v>
      </c>
      <c r="G79" s="1">
        <v>0</v>
      </c>
      <c r="H79" s="1">
        <v>1</v>
      </c>
      <c r="I79" s="1">
        <v>2020</v>
      </c>
      <c r="J79" s="1">
        <v>4</v>
      </c>
      <c r="K79" s="1" t="s">
        <v>0</v>
      </c>
      <c r="L79" s="1">
        <v>2</v>
      </c>
      <c r="M79" s="1">
        <v>30</v>
      </c>
      <c r="N79" s="1">
        <v>0</v>
      </c>
      <c r="O79" s="1">
        <v>44607.622187499997</v>
      </c>
      <c r="P79" s="1">
        <v>27184.37</v>
      </c>
      <c r="Q79" s="1">
        <v>4095.59</v>
      </c>
      <c r="R79" s="1">
        <v>23088.78</v>
      </c>
      <c r="S79" s="1">
        <v>0</v>
      </c>
      <c r="T79" s="1">
        <v>3661987.67</v>
      </c>
      <c r="U79" s="1"/>
      <c r="V79" s="1">
        <v>310887.75</v>
      </c>
      <c r="W79" s="1">
        <v>3351099.92</v>
      </c>
      <c r="X79" s="1"/>
      <c r="Y79" s="1">
        <v>3554900.34</v>
      </c>
      <c r="Z79" s="1">
        <v>0</v>
      </c>
      <c r="AA79" s="1">
        <v>83998.55</v>
      </c>
      <c r="AB79" s="1">
        <v>149.25</v>
      </c>
      <c r="AC79" s="1">
        <v>66.8</v>
      </c>
      <c r="AD79" s="1"/>
      <c r="AE79" s="1"/>
      <c r="AF79" s="1">
        <v>82.45</v>
      </c>
      <c r="AG79" s="1">
        <v>0</v>
      </c>
      <c r="AH79" s="1">
        <v>473632.59</v>
      </c>
      <c r="AI79" s="1"/>
      <c r="AJ79" s="1"/>
      <c r="AK79" s="1">
        <v>3.06</v>
      </c>
      <c r="AL79" s="1">
        <v>473629.53</v>
      </c>
      <c r="AM79" s="1">
        <v>0</v>
      </c>
      <c r="AN79" s="1">
        <v>557481.89</v>
      </c>
      <c r="AO79" s="1"/>
      <c r="AP79" s="1"/>
      <c r="AQ79" s="1">
        <v>0</v>
      </c>
      <c r="AR79" s="1">
        <v>557481.89</v>
      </c>
      <c r="AS79" s="1">
        <v>0</v>
      </c>
      <c r="AT79" s="1"/>
      <c r="AU79" s="1">
        <v>-557481.89</v>
      </c>
      <c r="AV79" s="1">
        <v>557481.89</v>
      </c>
    </row>
    <row r="80" spans="1:48" s="3" customFormat="1" ht="12" x14ac:dyDescent="0.2">
      <c r="A80" s="1">
        <v>20025</v>
      </c>
      <c r="B80" s="1">
        <v>0</v>
      </c>
      <c r="C80" s="1">
        <v>200547509</v>
      </c>
      <c r="D80" s="1" t="s">
        <v>136</v>
      </c>
      <c r="E80" s="1">
        <v>26</v>
      </c>
      <c r="F80" s="1">
        <v>8</v>
      </c>
      <c r="G80" s="1">
        <v>0</v>
      </c>
      <c r="H80" s="1">
        <v>1</v>
      </c>
      <c r="I80" s="1">
        <v>2019</v>
      </c>
      <c r="J80" s="1">
        <v>4</v>
      </c>
      <c r="K80" s="1" t="s">
        <v>0</v>
      </c>
      <c r="L80" s="1">
        <v>2</v>
      </c>
      <c r="M80" s="1">
        <v>30</v>
      </c>
      <c r="N80" s="1">
        <v>0</v>
      </c>
      <c r="O80" s="1">
        <v>44145.621724537035</v>
      </c>
      <c r="P80" s="1">
        <v>3253651.65</v>
      </c>
      <c r="Q80" s="1">
        <v>3154198.46</v>
      </c>
      <c r="R80" s="1">
        <v>99453.19</v>
      </c>
      <c r="S80" s="1">
        <v>0</v>
      </c>
      <c r="T80" s="1">
        <v>3734984.23</v>
      </c>
      <c r="U80" s="1"/>
      <c r="V80" s="1">
        <v>487212.16</v>
      </c>
      <c r="W80" s="1">
        <v>3247772.07</v>
      </c>
      <c r="X80" s="1"/>
      <c r="Y80" s="1">
        <v>4961738.54</v>
      </c>
      <c r="Z80" s="1">
        <v>1326207.5</v>
      </c>
      <c r="AA80" s="1">
        <v>0</v>
      </c>
      <c r="AB80" s="1">
        <v>1596587.52</v>
      </c>
      <c r="AC80" s="1">
        <v>61.2</v>
      </c>
      <c r="AD80" s="1"/>
      <c r="AE80" s="1"/>
      <c r="AF80" s="1">
        <v>4432.6400000000003</v>
      </c>
      <c r="AG80" s="1">
        <v>1592093.68</v>
      </c>
      <c r="AH80" s="1">
        <v>3428.37</v>
      </c>
      <c r="AI80" s="1"/>
      <c r="AJ80" s="1"/>
      <c r="AK80" s="1">
        <v>3428.37</v>
      </c>
      <c r="AL80" s="1"/>
      <c r="AM80" s="1">
        <v>2919366.65</v>
      </c>
      <c r="AN80" s="1">
        <v>0</v>
      </c>
      <c r="AO80" s="1"/>
      <c r="AP80" s="1"/>
      <c r="AQ80" s="1">
        <v>2919366.65</v>
      </c>
      <c r="AR80" s="1">
        <v>0</v>
      </c>
      <c r="AS80" s="1">
        <v>373128.74</v>
      </c>
      <c r="AT80" s="1"/>
      <c r="AU80" s="1">
        <v>2546237.91</v>
      </c>
      <c r="AV80" s="1">
        <v>0</v>
      </c>
    </row>
    <row r="81" spans="1:48" s="3" customFormat="1" ht="12" x14ac:dyDescent="0.2">
      <c r="A81" s="1">
        <v>20025</v>
      </c>
      <c r="B81" s="1">
        <v>0</v>
      </c>
      <c r="C81" s="7">
        <v>200547509</v>
      </c>
      <c r="D81" s="1" t="s">
        <v>136</v>
      </c>
      <c r="E81" s="1">
        <v>26</v>
      </c>
      <c r="F81" s="1">
        <v>8</v>
      </c>
      <c r="G81" s="1">
        <v>0</v>
      </c>
      <c r="H81" s="1">
        <v>1</v>
      </c>
      <c r="I81" s="1">
        <v>2018</v>
      </c>
      <c r="J81" s="1">
        <v>4</v>
      </c>
      <c r="K81" s="1" t="s">
        <v>0</v>
      </c>
      <c r="L81" s="1">
        <v>1</v>
      </c>
      <c r="M81" s="1">
        <v>30</v>
      </c>
      <c r="N81" s="1">
        <v>0</v>
      </c>
      <c r="O81" s="1">
        <v>43509.689988425926</v>
      </c>
      <c r="P81" s="1">
        <v>4974667.3600000003</v>
      </c>
      <c r="Q81" s="1">
        <v>4131518.45</v>
      </c>
      <c r="R81" s="2">
        <v>843148.91</v>
      </c>
      <c r="S81" s="2">
        <v>0</v>
      </c>
      <c r="T81" s="1">
        <v>1261640.32</v>
      </c>
      <c r="U81" s="1"/>
      <c r="V81" s="1">
        <v>532926.6</v>
      </c>
      <c r="W81" s="1">
        <v>728713.72</v>
      </c>
      <c r="X81" s="1"/>
      <c r="Y81" s="1">
        <v>216547.57</v>
      </c>
      <c r="Z81" s="1">
        <v>0</v>
      </c>
      <c r="AA81" s="1">
        <v>201943.84</v>
      </c>
      <c r="AB81" s="1">
        <v>32027.85</v>
      </c>
      <c r="AC81" s="1">
        <v>0</v>
      </c>
      <c r="AD81" s="1">
        <v>101.18</v>
      </c>
      <c r="AE81" s="1"/>
      <c r="AF81" s="1">
        <v>31926.67</v>
      </c>
      <c r="AG81" s="1"/>
      <c r="AH81" s="1">
        <v>9161.81</v>
      </c>
      <c r="AI81" s="1"/>
      <c r="AJ81" s="1"/>
      <c r="AK81" s="1">
        <v>9161.81</v>
      </c>
      <c r="AL81" s="1"/>
      <c r="AM81" s="1">
        <v>0</v>
      </c>
      <c r="AN81" s="1">
        <v>179077.8</v>
      </c>
      <c r="AO81" s="1"/>
      <c r="AP81" s="1"/>
      <c r="AQ81" s="1">
        <v>0</v>
      </c>
      <c r="AR81" s="1">
        <v>179077.8</v>
      </c>
      <c r="AS81" s="1"/>
      <c r="AT81" s="1">
        <v>262626.32</v>
      </c>
      <c r="AU81" s="1">
        <v>-441704.12</v>
      </c>
      <c r="AV81" s="1">
        <v>441704.12</v>
      </c>
    </row>
    <row r="82" spans="1:48" s="3" customFormat="1" ht="12" x14ac:dyDescent="0.2">
      <c r="A82" s="1">
        <v>20025</v>
      </c>
      <c r="B82" s="1">
        <v>0</v>
      </c>
      <c r="C82" s="1">
        <v>200547548</v>
      </c>
      <c r="D82" s="1" t="s">
        <v>137</v>
      </c>
      <c r="E82" s="1">
        <v>26</v>
      </c>
      <c r="F82" s="1">
        <v>8</v>
      </c>
      <c r="G82" s="1">
        <v>2</v>
      </c>
      <c r="H82" s="1">
        <v>8</v>
      </c>
      <c r="I82" s="1">
        <v>2021</v>
      </c>
      <c r="J82" s="1">
        <v>4</v>
      </c>
      <c r="K82" s="1" t="s">
        <v>0</v>
      </c>
      <c r="L82" s="1">
        <v>2</v>
      </c>
      <c r="M82" s="1">
        <v>30</v>
      </c>
      <c r="N82" s="1">
        <v>0</v>
      </c>
      <c r="O82" s="1">
        <v>44802.440868055557</v>
      </c>
      <c r="P82" s="1">
        <v>567153</v>
      </c>
      <c r="Q82" s="1">
        <v>840816</v>
      </c>
      <c r="R82" s="1">
        <v>0</v>
      </c>
      <c r="S82" s="1">
        <v>273663</v>
      </c>
      <c r="T82" s="1">
        <v>13606483</v>
      </c>
      <c r="U82" s="1">
        <v>195831</v>
      </c>
      <c r="V82" s="1">
        <v>1681432</v>
      </c>
      <c r="W82" s="1">
        <v>11729220</v>
      </c>
      <c r="X82" s="1"/>
      <c r="Y82" s="1">
        <v>20631188</v>
      </c>
      <c r="Z82" s="1">
        <v>6751042</v>
      </c>
      <c r="AA82" s="1">
        <v>0</v>
      </c>
      <c r="AB82" s="1">
        <v>292694</v>
      </c>
      <c r="AC82" s="1"/>
      <c r="AD82" s="1">
        <v>110250</v>
      </c>
      <c r="AE82" s="1"/>
      <c r="AF82" s="1">
        <v>82140</v>
      </c>
      <c r="AG82" s="1">
        <v>100304</v>
      </c>
      <c r="AH82" s="1">
        <v>1255937</v>
      </c>
      <c r="AI82" s="1">
        <v>1255937</v>
      </c>
      <c r="AJ82" s="1"/>
      <c r="AK82" s="1"/>
      <c r="AL82" s="1"/>
      <c r="AM82" s="1">
        <v>5787799</v>
      </c>
      <c r="AN82" s="1">
        <v>0</v>
      </c>
      <c r="AO82" s="1"/>
      <c r="AP82" s="1"/>
      <c r="AQ82" s="1">
        <v>5787799</v>
      </c>
      <c r="AR82" s="1">
        <v>0</v>
      </c>
      <c r="AS82" s="1">
        <v>255407</v>
      </c>
      <c r="AT82" s="1"/>
      <c r="AU82" s="1">
        <v>5532392</v>
      </c>
      <c r="AV82" s="1">
        <v>0</v>
      </c>
    </row>
    <row r="83" spans="1:48" s="3" customFormat="1" ht="12" x14ac:dyDescent="0.2">
      <c r="A83" s="1">
        <v>20025</v>
      </c>
      <c r="B83" s="1">
        <v>0</v>
      </c>
      <c r="C83" s="1">
        <v>200547548</v>
      </c>
      <c r="D83" s="1" t="s">
        <v>137</v>
      </c>
      <c r="E83" s="1">
        <v>26</v>
      </c>
      <c r="F83" s="1">
        <v>8</v>
      </c>
      <c r="G83" s="1">
        <v>2</v>
      </c>
      <c r="H83" s="1">
        <v>8</v>
      </c>
      <c r="I83" s="1">
        <v>2020</v>
      </c>
      <c r="J83" s="1">
        <v>4</v>
      </c>
      <c r="K83" s="1" t="s">
        <v>0</v>
      </c>
      <c r="L83" s="1">
        <v>1</v>
      </c>
      <c r="M83" s="1">
        <v>30</v>
      </c>
      <c r="N83" s="1">
        <v>0</v>
      </c>
      <c r="O83" s="1">
        <v>44278.461851851855</v>
      </c>
      <c r="P83" s="1">
        <v>39569883</v>
      </c>
      <c r="Q83" s="1">
        <v>43871973</v>
      </c>
      <c r="R83" s="1">
        <v>0</v>
      </c>
      <c r="S83" s="1">
        <v>4302090</v>
      </c>
      <c r="T83" s="1">
        <v>10842158</v>
      </c>
      <c r="U83" s="1">
        <v>2318306</v>
      </c>
      <c r="V83" s="1">
        <v>2176425</v>
      </c>
      <c r="W83" s="1">
        <v>6347427</v>
      </c>
      <c r="X83" s="1"/>
      <c r="Y83" s="1">
        <v>475999</v>
      </c>
      <c r="Z83" s="1">
        <v>0</v>
      </c>
      <c r="AA83" s="1">
        <v>14668249</v>
      </c>
      <c r="AB83" s="1">
        <v>642125</v>
      </c>
      <c r="AC83" s="1"/>
      <c r="AD83" s="1">
        <v>175562</v>
      </c>
      <c r="AE83" s="1">
        <v>245843</v>
      </c>
      <c r="AF83" s="1">
        <v>220720</v>
      </c>
      <c r="AG83" s="1"/>
      <c r="AH83" s="1">
        <v>6071700</v>
      </c>
      <c r="AI83" s="1">
        <v>6070930</v>
      </c>
      <c r="AJ83" s="1"/>
      <c r="AK83" s="1">
        <v>770</v>
      </c>
      <c r="AL83" s="1"/>
      <c r="AM83" s="1">
        <v>0</v>
      </c>
      <c r="AN83" s="1">
        <v>20097824</v>
      </c>
      <c r="AO83" s="1"/>
      <c r="AP83" s="1"/>
      <c r="AQ83" s="1">
        <v>0</v>
      </c>
      <c r="AR83" s="1">
        <v>20097824</v>
      </c>
      <c r="AS83" s="1"/>
      <c r="AT83" s="1"/>
      <c r="AU83" s="1">
        <v>-20097824</v>
      </c>
      <c r="AV83" s="1">
        <v>20097824</v>
      </c>
    </row>
    <row r="84" spans="1:48" s="3" customFormat="1" ht="12" x14ac:dyDescent="0.2">
      <c r="A84" s="1">
        <v>20025</v>
      </c>
      <c r="B84" s="1">
        <v>0</v>
      </c>
      <c r="C84" s="1">
        <v>200547548</v>
      </c>
      <c r="D84" s="1" t="s">
        <v>137</v>
      </c>
      <c r="E84" s="1">
        <v>26</v>
      </c>
      <c r="F84" s="1">
        <v>8</v>
      </c>
      <c r="G84" s="1">
        <v>2</v>
      </c>
      <c r="H84" s="1">
        <v>8</v>
      </c>
      <c r="I84" s="1">
        <v>2019</v>
      </c>
      <c r="J84" s="1">
        <v>4</v>
      </c>
      <c r="K84" s="1" t="s">
        <v>0</v>
      </c>
      <c r="L84" s="1">
        <v>2</v>
      </c>
      <c r="M84" s="1">
        <v>30</v>
      </c>
      <c r="N84" s="1">
        <v>0</v>
      </c>
      <c r="O84" s="1">
        <v>44084.611712962964</v>
      </c>
      <c r="P84" s="1">
        <v>60283466</v>
      </c>
      <c r="Q84" s="1">
        <v>53907412</v>
      </c>
      <c r="R84" s="1">
        <v>6376054</v>
      </c>
      <c r="S84" s="1">
        <v>0</v>
      </c>
      <c r="T84" s="1">
        <v>11214801</v>
      </c>
      <c r="U84" s="1">
        <v>493801</v>
      </c>
      <c r="V84" s="1">
        <v>3725978</v>
      </c>
      <c r="W84" s="1">
        <v>6995022</v>
      </c>
      <c r="X84" s="1"/>
      <c r="Y84" s="1">
        <v>3061832</v>
      </c>
      <c r="Z84" s="1">
        <v>0</v>
      </c>
      <c r="AA84" s="1">
        <v>1776915</v>
      </c>
      <c r="AB84" s="1">
        <v>1688273</v>
      </c>
      <c r="AC84" s="1"/>
      <c r="AD84" s="1">
        <v>693418</v>
      </c>
      <c r="AE84" s="1"/>
      <c r="AF84" s="1">
        <v>994855</v>
      </c>
      <c r="AG84" s="1"/>
      <c r="AH84" s="1">
        <v>4194221</v>
      </c>
      <c r="AI84" s="1">
        <v>3447756</v>
      </c>
      <c r="AJ84" s="1"/>
      <c r="AK84" s="1">
        <v>713127</v>
      </c>
      <c r="AL84" s="1">
        <v>33338</v>
      </c>
      <c r="AM84" s="1">
        <v>0</v>
      </c>
      <c r="AN84" s="1">
        <v>4282863</v>
      </c>
      <c r="AO84" s="1"/>
      <c r="AP84" s="1"/>
      <c r="AQ84" s="1">
        <v>0</v>
      </c>
      <c r="AR84" s="1">
        <v>4282863</v>
      </c>
      <c r="AS84" s="1"/>
      <c r="AT84" s="1"/>
      <c r="AU84" s="1">
        <v>-4282863</v>
      </c>
      <c r="AV84" s="1">
        <v>4282863</v>
      </c>
    </row>
    <row r="85" spans="1:48" s="3" customFormat="1" ht="12" x14ac:dyDescent="0.2">
      <c r="A85" s="1">
        <v>20025</v>
      </c>
      <c r="B85" s="1">
        <v>0</v>
      </c>
      <c r="C85" s="7">
        <v>200547548</v>
      </c>
      <c r="D85" s="1" t="s">
        <v>137</v>
      </c>
      <c r="E85" s="1">
        <v>26</v>
      </c>
      <c r="F85" s="1">
        <v>8</v>
      </c>
      <c r="G85" s="1">
        <v>2</v>
      </c>
      <c r="H85" s="1">
        <v>8</v>
      </c>
      <c r="I85" s="1">
        <v>2018</v>
      </c>
      <c r="J85" s="1">
        <v>4</v>
      </c>
      <c r="K85" s="1" t="s">
        <v>0</v>
      </c>
      <c r="L85" s="1">
        <v>2</v>
      </c>
      <c r="M85" s="1">
        <v>30</v>
      </c>
      <c r="N85" s="1">
        <v>0</v>
      </c>
      <c r="O85" s="1">
        <v>43661.393599537034</v>
      </c>
      <c r="P85" s="1">
        <v>100589746</v>
      </c>
      <c r="Q85" s="1">
        <v>81376950</v>
      </c>
      <c r="R85" s="2">
        <v>19212796</v>
      </c>
      <c r="S85" s="2">
        <v>0</v>
      </c>
      <c r="T85" s="1">
        <v>17149806</v>
      </c>
      <c r="U85" s="1">
        <v>971511</v>
      </c>
      <c r="V85" s="1">
        <v>4281959</v>
      </c>
      <c r="W85" s="1">
        <v>11896336</v>
      </c>
      <c r="X85" s="1"/>
      <c r="Y85" s="1">
        <v>1626972</v>
      </c>
      <c r="Z85" s="1">
        <v>3689962</v>
      </c>
      <c r="AA85" s="1">
        <v>0</v>
      </c>
      <c r="AB85" s="1">
        <v>1406423</v>
      </c>
      <c r="AC85" s="1">
        <v>143602</v>
      </c>
      <c r="AD85" s="1">
        <v>668591</v>
      </c>
      <c r="AE85" s="1"/>
      <c r="AF85" s="1">
        <v>592444</v>
      </c>
      <c r="AG85" s="1">
        <v>1786</v>
      </c>
      <c r="AH85" s="1">
        <v>2037371</v>
      </c>
      <c r="AI85" s="1">
        <v>1217263</v>
      </c>
      <c r="AJ85" s="1"/>
      <c r="AK85" s="1">
        <v>820108</v>
      </c>
      <c r="AL85" s="1"/>
      <c r="AM85" s="1">
        <v>3059014</v>
      </c>
      <c r="AN85" s="1">
        <v>0</v>
      </c>
      <c r="AO85" s="1"/>
      <c r="AP85" s="1"/>
      <c r="AQ85" s="1">
        <v>3059014</v>
      </c>
      <c r="AR85" s="1">
        <v>0</v>
      </c>
      <c r="AS85" s="1">
        <v>744377</v>
      </c>
      <c r="AT85" s="1"/>
      <c r="AU85" s="1">
        <v>2314637</v>
      </c>
      <c r="AV85" s="1">
        <v>0</v>
      </c>
    </row>
    <row r="86" spans="1:48" s="3" customFormat="1" ht="12" x14ac:dyDescent="0.2">
      <c r="A86" s="1">
        <v>20025</v>
      </c>
      <c r="B86" s="1">
        <v>0</v>
      </c>
      <c r="C86" s="1">
        <v>200587450</v>
      </c>
      <c r="D86" s="1" t="s">
        <v>138</v>
      </c>
      <c r="E86" s="1">
        <v>27</v>
      </c>
      <c r="F86" s="1">
        <v>23</v>
      </c>
      <c r="G86" s="1">
        <v>0</v>
      </c>
      <c r="H86" s="1">
        <v>1</v>
      </c>
      <c r="I86" s="1">
        <v>2021</v>
      </c>
      <c r="J86" s="1">
        <v>4</v>
      </c>
      <c r="K86" s="1" t="s">
        <v>0</v>
      </c>
      <c r="L86" s="1">
        <v>1</v>
      </c>
      <c r="M86" s="1">
        <v>30</v>
      </c>
      <c r="N86" s="1">
        <v>0</v>
      </c>
      <c r="O86" s="1">
        <v>44607.116550925923</v>
      </c>
      <c r="P86" s="1">
        <v>2609252</v>
      </c>
      <c r="Q86" s="1">
        <v>1987908</v>
      </c>
      <c r="R86" s="1">
        <v>621344</v>
      </c>
      <c r="S86" s="1">
        <v>0</v>
      </c>
      <c r="T86" s="1">
        <v>602802</v>
      </c>
      <c r="U86" s="1"/>
      <c r="V86" s="1">
        <v>550089</v>
      </c>
      <c r="W86" s="1">
        <v>52713</v>
      </c>
      <c r="X86" s="1"/>
      <c r="Y86" s="1"/>
      <c r="Z86" s="1">
        <v>18542</v>
      </c>
      <c r="AA86" s="1">
        <v>0</v>
      </c>
      <c r="AB86" s="1">
        <v>54530</v>
      </c>
      <c r="AC86" s="1"/>
      <c r="AD86" s="1"/>
      <c r="AE86" s="1"/>
      <c r="AF86" s="1"/>
      <c r="AG86" s="1">
        <v>54530</v>
      </c>
      <c r="AH86" s="1">
        <v>0</v>
      </c>
      <c r="AI86" s="1"/>
      <c r="AJ86" s="1"/>
      <c r="AK86" s="1"/>
      <c r="AL86" s="1"/>
      <c r="AM86" s="1">
        <v>73072</v>
      </c>
      <c r="AN86" s="1">
        <v>0</v>
      </c>
      <c r="AO86" s="1"/>
      <c r="AP86" s="1"/>
      <c r="AQ86" s="1">
        <v>73072</v>
      </c>
      <c r="AR86" s="1">
        <v>0</v>
      </c>
      <c r="AS86" s="1">
        <v>16838</v>
      </c>
      <c r="AT86" s="1"/>
      <c r="AU86" s="1">
        <v>56234</v>
      </c>
      <c r="AV86" s="1">
        <v>0</v>
      </c>
    </row>
    <row r="87" spans="1:48" s="3" customFormat="1" ht="12" x14ac:dyDescent="0.2">
      <c r="A87" s="1">
        <v>20025</v>
      </c>
      <c r="B87" s="1">
        <v>0</v>
      </c>
      <c r="C87" s="1">
        <v>200587450</v>
      </c>
      <c r="D87" s="1" t="s">
        <v>138</v>
      </c>
      <c r="E87" s="1">
        <v>27</v>
      </c>
      <c r="F87" s="1">
        <v>23</v>
      </c>
      <c r="G87" s="1">
        <v>0</v>
      </c>
      <c r="H87" s="1">
        <v>1</v>
      </c>
      <c r="I87" s="1">
        <v>2020</v>
      </c>
      <c r="J87" s="1">
        <v>4</v>
      </c>
      <c r="K87" s="1" t="s">
        <v>0</v>
      </c>
      <c r="L87" s="1">
        <v>1</v>
      </c>
      <c r="M87" s="1">
        <v>30</v>
      </c>
      <c r="N87" s="1">
        <v>0</v>
      </c>
      <c r="O87" s="1">
        <v>44226.624652777777</v>
      </c>
      <c r="P87" s="1">
        <v>1277025</v>
      </c>
      <c r="Q87" s="1">
        <v>1515091</v>
      </c>
      <c r="R87" s="1">
        <v>0</v>
      </c>
      <c r="S87" s="1">
        <v>238066</v>
      </c>
      <c r="T87" s="1">
        <v>623264</v>
      </c>
      <c r="U87" s="1"/>
      <c r="V87" s="1">
        <v>286317</v>
      </c>
      <c r="W87" s="1">
        <v>336947</v>
      </c>
      <c r="X87" s="1"/>
      <c r="Y87" s="1">
        <v>1072058</v>
      </c>
      <c r="Z87" s="1">
        <v>210728</v>
      </c>
      <c r="AA87" s="1">
        <v>0</v>
      </c>
      <c r="AB87" s="1"/>
      <c r="AC87" s="1"/>
      <c r="AD87" s="1"/>
      <c r="AE87" s="1"/>
      <c r="AF87" s="1"/>
      <c r="AG87" s="1"/>
      <c r="AH87" s="1">
        <v>0</v>
      </c>
      <c r="AI87" s="1"/>
      <c r="AJ87" s="1"/>
      <c r="AK87" s="1"/>
      <c r="AL87" s="1"/>
      <c r="AM87" s="1">
        <v>210728</v>
      </c>
      <c r="AN87" s="1">
        <v>0</v>
      </c>
      <c r="AO87" s="1"/>
      <c r="AP87" s="1"/>
      <c r="AQ87" s="1">
        <v>210728</v>
      </c>
      <c r="AR87" s="1">
        <v>0</v>
      </c>
      <c r="AS87" s="1">
        <v>60686</v>
      </c>
      <c r="AT87" s="1"/>
      <c r="AU87" s="1">
        <v>150042</v>
      </c>
      <c r="AV87" s="1">
        <v>0</v>
      </c>
    </row>
    <row r="88" spans="1:48" s="3" customFormat="1" ht="12" x14ac:dyDescent="0.2">
      <c r="A88" s="1">
        <v>20025</v>
      </c>
      <c r="B88" s="1">
        <v>0</v>
      </c>
      <c r="C88" s="1">
        <v>200587450</v>
      </c>
      <c r="D88" s="1" t="s">
        <v>138</v>
      </c>
      <c r="E88" s="1">
        <v>27</v>
      </c>
      <c r="F88" s="1">
        <v>23</v>
      </c>
      <c r="G88" s="1">
        <v>0</v>
      </c>
      <c r="H88" s="1">
        <v>1</v>
      </c>
      <c r="I88" s="1">
        <v>2019</v>
      </c>
      <c r="J88" s="1">
        <v>4</v>
      </c>
      <c r="K88" s="1" t="s">
        <v>0</v>
      </c>
      <c r="L88" s="1">
        <v>2</v>
      </c>
      <c r="M88" s="1">
        <v>30</v>
      </c>
      <c r="N88" s="1">
        <v>0</v>
      </c>
      <c r="O88" s="1">
        <v>44222.517777777779</v>
      </c>
      <c r="P88" s="1">
        <v>8671313</v>
      </c>
      <c r="Q88" s="1">
        <v>7565466</v>
      </c>
      <c r="R88" s="1">
        <v>1105847</v>
      </c>
      <c r="S88" s="1">
        <v>0</v>
      </c>
      <c r="T88" s="1">
        <v>2477765</v>
      </c>
      <c r="U88" s="1"/>
      <c r="V88" s="1">
        <v>312098</v>
      </c>
      <c r="W88" s="1">
        <v>2165667</v>
      </c>
      <c r="X88" s="1"/>
      <c r="Y88" s="1">
        <v>5088526</v>
      </c>
      <c r="Z88" s="1">
        <v>3716608</v>
      </c>
      <c r="AA88" s="1">
        <v>0</v>
      </c>
      <c r="AB88" s="1"/>
      <c r="AC88" s="1"/>
      <c r="AD88" s="1"/>
      <c r="AE88" s="1"/>
      <c r="AF88" s="1"/>
      <c r="AG88" s="1"/>
      <c r="AH88" s="1">
        <v>0</v>
      </c>
      <c r="AI88" s="1"/>
      <c r="AJ88" s="1"/>
      <c r="AK88" s="1"/>
      <c r="AL88" s="1"/>
      <c r="AM88" s="1">
        <v>3716608</v>
      </c>
      <c r="AN88" s="1">
        <v>0</v>
      </c>
      <c r="AO88" s="1"/>
      <c r="AP88" s="1"/>
      <c r="AQ88" s="1">
        <v>3716608</v>
      </c>
      <c r="AR88" s="1">
        <v>0</v>
      </c>
      <c r="AS88" s="1">
        <v>446146</v>
      </c>
      <c r="AT88" s="1"/>
      <c r="AU88" s="1">
        <v>3270462</v>
      </c>
      <c r="AV88" s="1">
        <v>0</v>
      </c>
    </row>
    <row r="89" spans="1:48" s="3" customFormat="1" ht="12" x14ac:dyDescent="0.2">
      <c r="A89" s="1">
        <v>20025</v>
      </c>
      <c r="B89" s="1">
        <v>0</v>
      </c>
      <c r="C89" s="7">
        <v>200587450</v>
      </c>
      <c r="D89" s="1" t="s">
        <v>138</v>
      </c>
      <c r="E89" s="1">
        <v>27</v>
      </c>
      <c r="F89" s="1">
        <v>23</v>
      </c>
      <c r="G89" s="1">
        <v>0</v>
      </c>
      <c r="H89" s="1">
        <v>1</v>
      </c>
      <c r="I89" s="1">
        <v>2018</v>
      </c>
      <c r="J89" s="1">
        <v>4</v>
      </c>
      <c r="K89" s="1" t="s">
        <v>0</v>
      </c>
      <c r="L89" s="1">
        <v>1</v>
      </c>
      <c r="M89" s="1">
        <v>30</v>
      </c>
      <c r="N89" s="1">
        <v>0</v>
      </c>
      <c r="O89" s="1">
        <v>43509.47215277778</v>
      </c>
      <c r="P89" s="1">
        <v>14252788</v>
      </c>
      <c r="Q89" s="1">
        <v>9981687</v>
      </c>
      <c r="R89" s="2">
        <v>4271101</v>
      </c>
      <c r="S89" s="2">
        <v>0</v>
      </c>
      <c r="T89" s="1">
        <v>2957301</v>
      </c>
      <c r="U89" s="1">
        <v>50532</v>
      </c>
      <c r="V89" s="1">
        <v>1393844</v>
      </c>
      <c r="W89" s="1">
        <v>1512925</v>
      </c>
      <c r="X89" s="1"/>
      <c r="Y89" s="1">
        <v>590750</v>
      </c>
      <c r="Z89" s="1">
        <v>1904550</v>
      </c>
      <c r="AA89" s="1">
        <v>0</v>
      </c>
      <c r="AB89" s="1"/>
      <c r="AC89" s="1"/>
      <c r="AD89" s="1"/>
      <c r="AE89" s="1"/>
      <c r="AF89" s="1"/>
      <c r="AG89" s="1"/>
      <c r="AH89" s="1">
        <v>1902</v>
      </c>
      <c r="AI89" s="1"/>
      <c r="AJ89" s="1"/>
      <c r="AK89" s="1">
        <v>1902</v>
      </c>
      <c r="AL89" s="1"/>
      <c r="AM89" s="1">
        <v>1902648</v>
      </c>
      <c r="AN89" s="1">
        <v>0</v>
      </c>
      <c r="AO89" s="1"/>
      <c r="AP89" s="1"/>
      <c r="AQ89" s="1">
        <v>1902648</v>
      </c>
      <c r="AR89" s="1">
        <v>0</v>
      </c>
      <c r="AS89" s="1"/>
      <c r="AT89" s="1">
        <v>683534</v>
      </c>
      <c r="AU89" s="1">
        <v>1219114</v>
      </c>
      <c r="AV89" s="1">
        <v>0</v>
      </c>
    </row>
    <row r="90" spans="1:48" s="3" customFormat="1" ht="12" x14ac:dyDescent="0.2">
      <c r="A90" s="1">
        <v>20025</v>
      </c>
      <c r="B90" s="1">
        <v>0</v>
      </c>
      <c r="C90" s="1">
        <v>200595877</v>
      </c>
      <c r="D90" s="1" t="s">
        <v>122</v>
      </c>
      <c r="E90" s="1">
        <v>27</v>
      </c>
      <c r="F90" s="1">
        <v>16</v>
      </c>
      <c r="G90" s="1">
        <v>0</v>
      </c>
      <c r="H90" s="1">
        <v>1</v>
      </c>
      <c r="I90" s="1">
        <v>2021</v>
      </c>
      <c r="J90" s="1">
        <v>4</v>
      </c>
      <c r="K90" s="1" t="s">
        <v>0</v>
      </c>
      <c r="L90" s="1">
        <v>2</v>
      </c>
      <c r="M90" s="1">
        <v>30</v>
      </c>
      <c r="N90" s="1">
        <v>0</v>
      </c>
      <c r="O90" s="1">
        <v>44619.889513888891</v>
      </c>
      <c r="P90" s="1">
        <v>21449155</v>
      </c>
      <c r="Q90" s="1">
        <v>14529833</v>
      </c>
      <c r="R90" s="1">
        <v>6919322</v>
      </c>
      <c r="S90" s="1">
        <v>0</v>
      </c>
      <c r="T90" s="1">
        <v>4672023</v>
      </c>
      <c r="U90" s="1"/>
      <c r="V90" s="1">
        <v>2209183</v>
      </c>
      <c r="W90" s="1">
        <v>2462840</v>
      </c>
      <c r="X90" s="1"/>
      <c r="Y90" s="1">
        <v>298968</v>
      </c>
      <c r="Z90" s="1">
        <v>2546267</v>
      </c>
      <c r="AA90" s="1">
        <v>0</v>
      </c>
      <c r="AB90" s="1">
        <v>292</v>
      </c>
      <c r="AC90" s="1"/>
      <c r="AD90" s="1"/>
      <c r="AE90" s="1"/>
      <c r="AF90" s="1">
        <v>292</v>
      </c>
      <c r="AG90" s="1"/>
      <c r="AH90" s="1">
        <v>292</v>
      </c>
      <c r="AI90" s="1"/>
      <c r="AJ90" s="1"/>
      <c r="AK90" s="1">
        <v>292</v>
      </c>
      <c r="AL90" s="1"/>
      <c r="AM90" s="1">
        <v>2546267</v>
      </c>
      <c r="AN90" s="1">
        <v>0</v>
      </c>
      <c r="AO90" s="1"/>
      <c r="AP90" s="1"/>
      <c r="AQ90" s="1">
        <v>2546267</v>
      </c>
      <c r="AR90" s="1">
        <v>0</v>
      </c>
      <c r="AS90" s="1">
        <v>615536</v>
      </c>
      <c r="AT90" s="1"/>
      <c r="AU90" s="1">
        <v>1930731</v>
      </c>
      <c r="AV90" s="1">
        <v>0</v>
      </c>
    </row>
    <row r="91" spans="1:48" s="3" customFormat="1" ht="12" x14ac:dyDescent="0.2">
      <c r="A91" s="1">
        <v>20025</v>
      </c>
      <c r="B91" s="1">
        <v>0</v>
      </c>
      <c r="C91" s="1">
        <v>200595877</v>
      </c>
      <c r="D91" s="1" t="s">
        <v>122</v>
      </c>
      <c r="E91" s="1">
        <v>27</v>
      </c>
      <c r="F91" s="1">
        <v>16</v>
      </c>
      <c r="G91" s="1">
        <v>0</v>
      </c>
      <c r="H91" s="1">
        <v>1</v>
      </c>
      <c r="I91" s="1">
        <v>2020</v>
      </c>
      <c r="J91" s="1">
        <v>4</v>
      </c>
      <c r="K91" s="1" t="s">
        <v>0</v>
      </c>
      <c r="L91" s="1">
        <v>1</v>
      </c>
      <c r="M91" s="1">
        <v>30</v>
      </c>
      <c r="N91" s="1">
        <v>0</v>
      </c>
      <c r="O91" s="1">
        <v>44242.590937499997</v>
      </c>
      <c r="P91" s="1">
        <v>24902329.140000001</v>
      </c>
      <c r="Q91" s="1">
        <v>15060457.220000001</v>
      </c>
      <c r="R91" s="1">
        <v>9841871.9199999999</v>
      </c>
      <c r="S91" s="1">
        <v>0</v>
      </c>
      <c r="T91" s="1">
        <v>3796116.12</v>
      </c>
      <c r="U91" s="1"/>
      <c r="V91" s="1">
        <v>1972435.21</v>
      </c>
      <c r="W91" s="1">
        <v>1823680.91</v>
      </c>
      <c r="X91" s="1"/>
      <c r="Y91" s="1">
        <v>31466.37</v>
      </c>
      <c r="Z91" s="1">
        <v>6077222.1699999999</v>
      </c>
      <c r="AA91" s="1">
        <v>0</v>
      </c>
      <c r="AB91" s="1">
        <v>0.03</v>
      </c>
      <c r="AC91" s="1">
        <v>0</v>
      </c>
      <c r="AD91" s="1">
        <v>0</v>
      </c>
      <c r="AE91" s="1">
        <v>0</v>
      </c>
      <c r="AF91" s="1">
        <v>0.03</v>
      </c>
      <c r="AG91" s="1">
        <v>0</v>
      </c>
      <c r="AH91" s="1">
        <v>0.02</v>
      </c>
      <c r="AI91" s="1">
        <v>0</v>
      </c>
      <c r="AJ91" s="1">
        <v>0</v>
      </c>
      <c r="AK91" s="1">
        <v>0.02</v>
      </c>
      <c r="AL91" s="1">
        <v>0</v>
      </c>
      <c r="AM91" s="1">
        <v>6077222.1799999997</v>
      </c>
      <c r="AN91" s="1">
        <v>0</v>
      </c>
      <c r="AO91" s="1"/>
      <c r="AP91" s="1"/>
      <c r="AQ91" s="1">
        <v>6077222.1799999997</v>
      </c>
      <c r="AR91" s="1">
        <v>0</v>
      </c>
      <c r="AS91" s="1">
        <v>926296.26</v>
      </c>
      <c r="AT91" s="1">
        <v>0</v>
      </c>
      <c r="AU91" s="1">
        <v>5150925.92</v>
      </c>
      <c r="AV91" s="1">
        <v>0</v>
      </c>
    </row>
    <row r="92" spans="1:48" s="3" customFormat="1" ht="12" x14ac:dyDescent="0.2">
      <c r="A92" s="1">
        <v>20025</v>
      </c>
      <c r="B92" s="1">
        <v>0</v>
      </c>
      <c r="C92" s="1">
        <v>200595877</v>
      </c>
      <c r="D92" s="1" t="s">
        <v>122</v>
      </c>
      <c r="E92" s="1">
        <v>27</v>
      </c>
      <c r="F92" s="1">
        <v>16</v>
      </c>
      <c r="G92" s="1">
        <v>0</v>
      </c>
      <c r="H92" s="1">
        <v>1</v>
      </c>
      <c r="I92" s="1">
        <v>2019</v>
      </c>
      <c r="J92" s="1">
        <v>4</v>
      </c>
      <c r="K92" s="1" t="s">
        <v>0</v>
      </c>
      <c r="L92" s="1">
        <v>1</v>
      </c>
      <c r="M92" s="1">
        <v>30</v>
      </c>
      <c r="N92" s="1">
        <v>0</v>
      </c>
      <c r="O92" s="1">
        <v>43876.925405092596</v>
      </c>
      <c r="P92" s="1">
        <v>18343213.23</v>
      </c>
      <c r="Q92" s="1">
        <v>11314444.210000001</v>
      </c>
      <c r="R92" s="1">
        <v>7028769.0199999996</v>
      </c>
      <c r="S92" s="1">
        <v>0</v>
      </c>
      <c r="T92" s="1">
        <v>2982945.18</v>
      </c>
      <c r="U92" s="1">
        <v>0</v>
      </c>
      <c r="V92" s="1">
        <v>1230976.3500000001</v>
      </c>
      <c r="W92" s="1">
        <v>1751968.83</v>
      </c>
      <c r="X92" s="1">
        <v>0</v>
      </c>
      <c r="Y92" s="1">
        <v>50667.19</v>
      </c>
      <c r="Z92" s="1">
        <v>4096491.03</v>
      </c>
      <c r="AA92" s="1">
        <v>0</v>
      </c>
      <c r="AB92" s="1">
        <v>17.86</v>
      </c>
      <c r="AC92" s="1">
        <v>15.6</v>
      </c>
      <c r="AD92" s="1">
        <v>0</v>
      </c>
      <c r="AE92" s="1">
        <v>0</v>
      </c>
      <c r="AF92" s="1">
        <v>2.2599999999999998</v>
      </c>
      <c r="AG92" s="1">
        <v>0</v>
      </c>
      <c r="AH92" s="1">
        <v>0.01</v>
      </c>
      <c r="AI92" s="1">
        <v>0</v>
      </c>
      <c r="AJ92" s="1">
        <v>0</v>
      </c>
      <c r="AK92" s="1">
        <v>0.01</v>
      </c>
      <c r="AL92" s="1">
        <v>0</v>
      </c>
      <c r="AM92" s="1">
        <v>4096508.88</v>
      </c>
      <c r="AN92" s="1">
        <v>0</v>
      </c>
      <c r="AO92" s="1">
        <v>0</v>
      </c>
      <c r="AP92" s="1">
        <v>0</v>
      </c>
      <c r="AQ92" s="1">
        <v>4096508.88</v>
      </c>
      <c r="AR92" s="1">
        <v>0</v>
      </c>
      <c r="AS92" s="1">
        <v>542986.91</v>
      </c>
      <c r="AT92" s="1">
        <v>0</v>
      </c>
      <c r="AU92" s="1">
        <v>3553521.97</v>
      </c>
      <c r="AV92" s="1">
        <v>0</v>
      </c>
    </row>
    <row r="93" spans="1:48" s="3" customFormat="1" ht="12" x14ac:dyDescent="0.2">
      <c r="A93" s="1">
        <v>20025</v>
      </c>
      <c r="B93" s="1">
        <v>0</v>
      </c>
      <c r="C93" s="7">
        <v>200595877</v>
      </c>
      <c r="D93" s="1" t="s">
        <v>122</v>
      </c>
      <c r="E93" s="1">
        <v>27</v>
      </c>
      <c r="F93" s="1">
        <v>16</v>
      </c>
      <c r="G93" s="1">
        <v>0</v>
      </c>
      <c r="H93" s="1">
        <v>1</v>
      </c>
      <c r="I93" s="1">
        <v>2018</v>
      </c>
      <c r="J93" s="1">
        <v>4</v>
      </c>
      <c r="K93" s="1" t="s">
        <v>0</v>
      </c>
      <c r="L93" s="1">
        <v>1</v>
      </c>
      <c r="M93" s="1">
        <v>30</v>
      </c>
      <c r="N93" s="1">
        <v>0</v>
      </c>
      <c r="O93" s="1">
        <v>43507.675173611111</v>
      </c>
      <c r="P93" s="1">
        <v>10951388</v>
      </c>
      <c r="Q93" s="1">
        <v>8209637</v>
      </c>
      <c r="R93" s="2">
        <v>2741751</v>
      </c>
      <c r="S93" s="2">
        <v>0</v>
      </c>
      <c r="T93" s="1">
        <v>2503369</v>
      </c>
      <c r="U93" s="1">
        <v>0</v>
      </c>
      <c r="V93" s="1">
        <v>915543</v>
      </c>
      <c r="W93" s="1">
        <v>1587826</v>
      </c>
      <c r="X93" s="1">
        <v>0</v>
      </c>
      <c r="Y93" s="1">
        <v>36588</v>
      </c>
      <c r="Z93" s="1">
        <v>274970</v>
      </c>
      <c r="AA93" s="1">
        <v>0</v>
      </c>
      <c r="AB93" s="1">
        <v>13</v>
      </c>
      <c r="AC93" s="1">
        <v>11</v>
      </c>
      <c r="AD93" s="1">
        <v>2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274983</v>
      </c>
      <c r="AN93" s="1">
        <v>0</v>
      </c>
      <c r="AO93" s="1">
        <v>0</v>
      </c>
      <c r="AP93" s="1">
        <v>0</v>
      </c>
      <c r="AQ93" s="1">
        <v>274983</v>
      </c>
      <c r="AR93" s="1">
        <v>0</v>
      </c>
      <c r="AS93" s="1">
        <v>73433</v>
      </c>
      <c r="AT93" s="1">
        <v>0</v>
      </c>
      <c r="AU93" s="1">
        <v>201550</v>
      </c>
      <c r="AV93" s="1">
        <v>0</v>
      </c>
    </row>
    <row r="94" spans="1:48" s="3" customFormat="1" ht="12" x14ac:dyDescent="0.2">
      <c r="A94" s="1">
        <v>20025</v>
      </c>
      <c r="B94" s="1">
        <v>0</v>
      </c>
      <c r="C94" s="1">
        <v>200607109</v>
      </c>
      <c r="D94" s="1" t="s">
        <v>139</v>
      </c>
      <c r="E94" s="1">
        <v>27</v>
      </c>
      <c r="F94" s="1">
        <v>6</v>
      </c>
      <c r="G94" s="1">
        <v>0</v>
      </c>
      <c r="H94" s="1">
        <v>1</v>
      </c>
      <c r="I94" s="1">
        <v>2021</v>
      </c>
      <c r="J94" s="1">
        <v>4</v>
      </c>
      <c r="K94" s="1" t="s">
        <v>0</v>
      </c>
      <c r="L94" s="1">
        <v>1</v>
      </c>
      <c r="M94" s="1">
        <v>30</v>
      </c>
      <c r="N94" s="1">
        <v>0</v>
      </c>
      <c r="O94" s="1">
        <v>44607.753206018519</v>
      </c>
      <c r="P94" s="1">
        <v>11156393.199999999</v>
      </c>
      <c r="Q94" s="1">
        <v>10093508.300000001</v>
      </c>
      <c r="R94" s="1">
        <v>1062884.8999999999</v>
      </c>
      <c r="S94" s="1">
        <v>0</v>
      </c>
      <c r="T94" s="1">
        <v>2644194.4</v>
      </c>
      <c r="U94" s="1">
        <v>67427.8</v>
      </c>
      <c r="V94" s="1">
        <v>1350531.3</v>
      </c>
      <c r="W94" s="1">
        <v>1226235.3</v>
      </c>
      <c r="X94" s="1"/>
      <c r="Y94" s="1">
        <v>1083176.8</v>
      </c>
      <c r="Z94" s="1">
        <v>0</v>
      </c>
      <c r="AA94" s="1">
        <v>498132.7</v>
      </c>
      <c r="AB94" s="1">
        <v>37.9</v>
      </c>
      <c r="AC94" s="1"/>
      <c r="AD94" s="1"/>
      <c r="AE94" s="1"/>
      <c r="AF94" s="1">
        <v>37.9</v>
      </c>
      <c r="AG94" s="1"/>
      <c r="AH94" s="1">
        <v>6.3</v>
      </c>
      <c r="AI94" s="1"/>
      <c r="AJ94" s="1"/>
      <c r="AK94" s="1">
        <v>6.3</v>
      </c>
      <c r="AL94" s="1"/>
      <c r="AM94" s="1">
        <v>0</v>
      </c>
      <c r="AN94" s="1">
        <v>498101.1</v>
      </c>
      <c r="AO94" s="1"/>
      <c r="AP94" s="1"/>
      <c r="AQ94" s="1">
        <v>0</v>
      </c>
      <c r="AR94" s="1">
        <v>498101.1</v>
      </c>
      <c r="AS94" s="1"/>
      <c r="AT94" s="1"/>
      <c r="AU94" s="1">
        <v>-498101.1</v>
      </c>
      <c r="AV94" s="1">
        <v>498101.1</v>
      </c>
    </row>
    <row r="95" spans="1:48" s="3" customFormat="1" ht="12" x14ac:dyDescent="0.2">
      <c r="A95" s="1">
        <v>20025</v>
      </c>
      <c r="B95" s="1">
        <v>0</v>
      </c>
      <c r="C95" s="1">
        <v>200607109</v>
      </c>
      <c r="D95" s="1" t="s">
        <v>139</v>
      </c>
      <c r="E95" s="1">
        <v>27</v>
      </c>
      <c r="F95" s="1">
        <v>6</v>
      </c>
      <c r="G95" s="1">
        <v>0</v>
      </c>
      <c r="H95" s="1">
        <v>1</v>
      </c>
      <c r="I95" s="1">
        <v>2020</v>
      </c>
      <c r="J95" s="1">
        <v>4</v>
      </c>
      <c r="K95" s="1" t="s">
        <v>0</v>
      </c>
      <c r="L95" s="1">
        <v>1</v>
      </c>
      <c r="M95" s="1">
        <v>30</v>
      </c>
      <c r="N95" s="1">
        <v>0</v>
      </c>
      <c r="O95" s="1">
        <v>44239.631157407406</v>
      </c>
      <c r="P95" s="1">
        <v>14998700</v>
      </c>
      <c r="Q95" s="1">
        <v>12192760</v>
      </c>
      <c r="R95" s="1">
        <v>2805940</v>
      </c>
      <c r="S95" s="1">
        <v>0</v>
      </c>
      <c r="T95" s="1">
        <v>2963108</v>
      </c>
      <c r="U95" s="1">
        <v>140783</v>
      </c>
      <c r="V95" s="1">
        <v>1678215</v>
      </c>
      <c r="W95" s="1">
        <v>1144110</v>
      </c>
      <c r="X95" s="1"/>
      <c r="Y95" s="1">
        <v>161454</v>
      </c>
      <c r="Z95" s="1">
        <v>4286</v>
      </c>
      <c r="AA95" s="1">
        <v>0</v>
      </c>
      <c r="AB95" s="1">
        <v>20273</v>
      </c>
      <c r="AC95" s="1">
        <v>371</v>
      </c>
      <c r="AD95" s="1"/>
      <c r="AE95" s="1"/>
      <c r="AF95" s="1">
        <v>19902</v>
      </c>
      <c r="AG95" s="1"/>
      <c r="AH95" s="1">
        <v>1115</v>
      </c>
      <c r="AI95" s="1"/>
      <c r="AJ95" s="1"/>
      <c r="AK95" s="1">
        <v>1115</v>
      </c>
      <c r="AL95" s="1"/>
      <c r="AM95" s="1">
        <v>23444</v>
      </c>
      <c r="AN95" s="1">
        <v>0</v>
      </c>
      <c r="AO95" s="1"/>
      <c r="AP95" s="1"/>
      <c r="AQ95" s="1">
        <v>23444</v>
      </c>
      <c r="AR95" s="1">
        <v>0</v>
      </c>
      <c r="AS95" s="1">
        <v>20915</v>
      </c>
      <c r="AT95" s="1"/>
      <c r="AU95" s="1">
        <v>2529</v>
      </c>
      <c r="AV95" s="1">
        <v>0</v>
      </c>
    </row>
    <row r="96" spans="1:48" s="3" customFormat="1" ht="12" x14ac:dyDescent="0.2">
      <c r="A96" s="1">
        <v>20025</v>
      </c>
      <c r="B96" s="1">
        <v>0</v>
      </c>
      <c r="C96" s="1">
        <v>200607109</v>
      </c>
      <c r="D96" s="1" t="s">
        <v>139</v>
      </c>
      <c r="E96" s="1">
        <v>27</v>
      </c>
      <c r="F96" s="1">
        <v>6</v>
      </c>
      <c r="G96" s="1">
        <v>0</v>
      </c>
      <c r="H96" s="1">
        <v>1</v>
      </c>
      <c r="I96" s="1">
        <v>2019</v>
      </c>
      <c r="J96" s="1">
        <v>4</v>
      </c>
      <c r="K96" s="1" t="s">
        <v>0</v>
      </c>
      <c r="L96" s="1">
        <v>2</v>
      </c>
      <c r="M96" s="1">
        <v>30</v>
      </c>
      <c r="N96" s="1">
        <v>0</v>
      </c>
      <c r="O96" s="1">
        <v>43866.595092592594</v>
      </c>
      <c r="P96" s="1">
        <v>21052898</v>
      </c>
      <c r="Q96" s="1">
        <v>16285901</v>
      </c>
      <c r="R96" s="1">
        <v>4766997</v>
      </c>
      <c r="S96" s="1">
        <v>0</v>
      </c>
      <c r="T96" s="1">
        <v>4049426</v>
      </c>
      <c r="U96" s="1">
        <v>217730</v>
      </c>
      <c r="V96" s="1">
        <v>1746554</v>
      </c>
      <c r="W96" s="1">
        <v>2085142</v>
      </c>
      <c r="X96" s="1"/>
      <c r="Y96" s="1">
        <v>95870</v>
      </c>
      <c r="Z96" s="1">
        <v>813441</v>
      </c>
      <c r="AA96" s="1">
        <v>0</v>
      </c>
      <c r="AB96" s="1">
        <v>35823</v>
      </c>
      <c r="AC96" s="1">
        <v>160</v>
      </c>
      <c r="AD96" s="1"/>
      <c r="AE96" s="1"/>
      <c r="AF96" s="1">
        <v>35663</v>
      </c>
      <c r="AG96" s="1"/>
      <c r="AH96" s="1">
        <v>765</v>
      </c>
      <c r="AI96" s="1"/>
      <c r="AJ96" s="1"/>
      <c r="AK96" s="1">
        <v>765</v>
      </c>
      <c r="AL96" s="1"/>
      <c r="AM96" s="1">
        <v>848499</v>
      </c>
      <c r="AN96" s="1">
        <v>0</v>
      </c>
      <c r="AO96" s="1"/>
      <c r="AP96" s="1"/>
      <c r="AQ96" s="1">
        <v>848499</v>
      </c>
      <c r="AR96" s="1">
        <v>0</v>
      </c>
      <c r="AS96" s="1">
        <v>90460</v>
      </c>
      <c r="AT96" s="1"/>
      <c r="AU96" s="1">
        <v>758039</v>
      </c>
      <c r="AV96" s="1">
        <v>0</v>
      </c>
    </row>
    <row r="97" spans="1:48" s="3" customFormat="1" ht="12" x14ac:dyDescent="0.2">
      <c r="A97" s="1">
        <v>20025</v>
      </c>
      <c r="B97" s="1">
        <v>0</v>
      </c>
      <c r="C97" s="7">
        <v>200607109</v>
      </c>
      <c r="D97" s="1" t="s">
        <v>139</v>
      </c>
      <c r="E97" s="1">
        <v>27</v>
      </c>
      <c r="F97" s="1">
        <v>6</v>
      </c>
      <c r="G97" s="1">
        <v>0</v>
      </c>
      <c r="H97" s="1">
        <v>1</v>
      </c>
      <c r="I97" s="1">
        <v>2018</v>
      </c>
      <c r="J97" s="1">
        <v>4</v>
      </c>
      <c r="K97" s="1" t="s">
        <v>0</v>
      </c>
      <c r="L97" s="1">
        <v>1</v>
      </c>
      <c r="M97" s="1">
        <v>30</v>
      </c>
      <c r="N97" s="1">
        <v>0</v>
      </c>
      <c r="O97" s="1">
        <v>43508.453576388885</v>
      </c>
      <c r="P97" s="1">
        <v>19909176</v>
      </c>
      <c r="Q97" s="1">
        <v>15705410</v>
      </c>
      <c r="R97" s="2">
        <v>4203766</v>
      </c>
      <c r="S97" s="2">
        <v>0</v>
      </c>
      <c r="T97" s="1">
        <v>2981628</v>
      </c>
      <c r="U97" s="1">
        <v>278039</v>
      </c>
      <c r="V97" s="1">
        <v>1315191</v>
      </c>
      <c r="W97" s="1">
        <v>1388398</v>
      </c>
      <c r="X97" s="1"/>
      <c r="Y97" s="1">
        <v>262913</v>
      </c>
      <c r="Z97" s="1">
        <v>1485051</v>
      </c>
      <c r="AA97" s="1">
        <v>0</v>
      </c>
      <c r="AB97" s="1">
        <v>210</v>
      </c>
      <c r="AC97" s="1">
        <v>92</v>
      </c>
      <c r="AD97" s="1"/>
      <c r="AE97" s="1"/>
      <c r="AF97" s="1">
        <v>118</v>
      </c>
      <c r="AG97" s="1"/>
      <c r="AH97" s="1"/>
      <c r="AI97" s="1"/>
      <c r="AJ97" s="1"/>
      <c r="AK97" s="1"/>
      <c r="AL97" s="1"/>
      <c r="AM97" s="1">
        <v>1485261</v>
      </c>
      <c r="AN97" s="1">
        <v>0</v>
      </c>
      <c r="AO97" s="1"/>
      <c r="AP97" s="1"/>
      <c r="AQ97" s="1">
        <v>1485261</v>
      </c>
      <c r="AR97" s="1">
        <v>0</v>
      </c>
      <c r="AS97" s="1"/>
      <c r="AT97" s="1">
        <v>1008610</v>
      </c>
      <c r="AU97" s="1">
        <v>476651</v>
      </c>
      <c r="AV97" s="1">
        <v>0</v>
      </c>
    </row>
    <row r="98" spans="1:48" s="3" customFormat="1" ht="12" x14ac:dyDescent="0.2">
      <c r="A98" s="1">
        <v>20025</v>
      </c>
      <c r="B98" s="1">
        <v>0</v>
      </c>
      <c r="C98" s="1">
        <v>200663071</v>
      </c>
      <c r="D98" s="1" t="s">
        <v>140</v>
      </c>
      <c r="E98" s="1">
        <v>26</v>
      </c>
      <c r="F98" s="1">
        <v>11</v>
      </c>
      <c r="G98" s="1">
        <v>0</v>
      </c>
      <c r="H98" s="1">
        <v>1</v>
      </c>
      <c r="I98" s="1">
        <v>2021</v>
      </c>
      <c r="J98" s="1">
        <v>4</v>
      </c>
      <c r="K98" s="1" t="s">
        <v>0</v>
      </c>
      <c r="L98" s="1">
        <v>1</v>
      </c>
      <c r="M98" s="1">
        <v>30</v>
      </c>
      <c r="N98" s="1">
        <v>0</v>
      </c>
      <c r="O98" s="1">
        <v>44606.569166666668</v>
      </c>
      <c r="P98" s="1">
        <v>24931381</v>
      </c>
      <c r="Q98" s="1">
        <v>19184687</v>
      </c>
      <c r="R98" s="1">
        <v>5746694</v>
      </c>
      <c r="S98" s="1">
        <v>0</v>
      </c>
      <c r="T98" s="1">
        <v>5563579</v>
      </c>
      <c r="U98" s="1"/>
      <c r="V98" s="1">
        <v>3951197</v>
      </c>
      <c r="W98" s="1">
        <v>1612382</v>
      </c>
      <c r="X98" s="1"/>
      <c r="Y98" s="1">
        <v>1875514</v>
      </c>
      <c r="Z98" s="1">
        <v>2058629</v>
      </c>
      <c r="AA98" s="1">
        <v>0</v>
      </c>
      <c r="AB98" s="1">
        <v>3832</v>
      </c>
      <c r="AC98" s="1"/>
      <c r="AD98" s="1"/>
      <c r="AE98" s="1"/>
      <c r="AF98" s="1">
        <v>3832</v>
      </c>
      <c r="AG98" s="1"/>
      <c r="AH98" s="1">
        <v>2876</v>
      </c>
      <c r="AI98" s="1"/>
      <c r="AJ98" s="1"/>
      <c r="AK98" s="1">
        <v>2876</v>
      </c>
      <c r="AL98" s="1"/>
      <c r="AM98" s="1">
        <v>2059585</v>
      </c>
      <c r="AN98" s="1">
        <v>0</v>
      </c>
      <c r="AO98" s="1"/>
      <c r="AP98" s="1"/>
      <c r="AQ98" s="1">
        <v>2059585</v>
      </c>
      <c r="AR98" s="1">
        <v>0</v>
      </c>
      <c r="AS98" s="1">
        <v>346723</v>
      </c>
      <c r="AT98" s="1"/>
      <c r="AU98" s="1">
        <v>1712862</v>
      </c>
      <c r="AV98" s="1">
        <v>0</v>
      </c>
    </row>
    <row r="99" spans="1:48" s="3" customFormat="1" ht="12" x14ac:dyDescent="0.2">
      <c r="A99" s="1">
        <v>20025</v>
      </c>
      <c r="B99" s="1">
        <v>0</v>
      </c>
      <c r="C99" s="1">
        <v>200663071</v>
      </c>
      <c r="D99" s="1" t="s">
        <v>140</v>
      </c>
      <c r="E99" s="1">
        <v>26</v>
      </c>
      <c r="F99" s="1">
        <v>11</v>
      </c>
      <c r="G99" s="1">
        <v>0</v>
      </c>
      <c r="H99" s="1">
        <v>1</v>
      </c>
      <c r="I99" s="1">
        <v>2020</v>
      </c>
      <c r="J99" s="1">
        <v>4</v>
      </c>
      <c r="K99" s="1" t="s">
        <v>0</v>
      </c>
      <c r="L99" s="1">
        <v>1</v>
      </c>
      <c r="M99" s="1">
        <v>30</v>
      </c>
      <c r="N99" s="1">
        <v>0</v>
      </c>
      <c r="O99" s="1">
        <v>44239.735613425924</v>
      </c>
      <c r="P99" s="1">
        <v>45042209</v>
      </c>
      <c r="Q99" s="1">
        <v>36610863</v>
      </c>
      <c r="R99" s="1">
        <v>8431346</v>
      </c>
      <c r="S99" s="1">
        <v>0</v>
      </c>
      <c r="T99" s="1">
        <v>5700859</v>
      </c>
      <c r="U99" s="1"/>
      <c r="V99" s="1">
        <v>3924561</v>
      </c>
      <c r="W99" s="1">
        <v>1776298</v>
      </c>
      <c r="X99" s="1"/>
      <c r="Y99" s="1">
        <v>2384149</v>
      </c>
      <c r="Z99" s="1">
        <v>5114636</v>
      </c>
      <c r="AA99" s="1">
        <v>0</v>
      </c>
      <c r="AB99" s="1">
        <v>69209</v>
      </c>
      <c r="AC99" s="1"/>
      <c r="AD99" s="1"/>
      <c r="AE99" s="1"/>
      <c r="AF99" s="1">
        <v>69209</v>
      </c>
      <c r="AG99" s="1"/>
      <c r="AH99" s="1">
        <v>78194</v>
      </c>
      <c r="AI99" s="1"/>
      <c r="AJ99" s="1"/>
      <c r="AK99" s="1">
        <v>78194</v>
      </c>
      <c r="AL99" s="1"/>
      <c r="AM99" s="1">
        <v>5105651</v>
      </c>
      <c r="AN99" s="1">
        <v>0</v>
      </c>
      <c r="AO99" s="1"/>
      <c r="AP99" s="1"/>
      <c r="AQ99" s="1">
        <v>5105651</v>
      </c>
      <c r="AR99" s="1">
        <v>0</v>
      </c>
      <c r="AS99" s="1">
        <v>817646</v>
      </c>
      <c r="AT99" s="1"/>
      <c r="AU99" s="1">
        <v>4288005</v>
      </c>
      <c r="AV99" s="1">
        <v>0</v>
      </c>
    </row>
    <row r="100" spans="1:48" s="3" customFormat="1" ht="12" x14ac:dyDescent="0.2">
      <c r="A100" s="1">
        <v>20025</v>
      </c>
      <c r="B100" s="1">
        <v>0</v>
      </c>
      <c r="C100" s="1">
        <v>200663071</v>
      </c>
      <c r="D100" s="1" t="s">
        <v>140</v>
      </c>
      <c r="E100" s="1">
        <v>26</v>
      </c>
      <c r="F100" s="1">
        <v>11</v>
      </c>
      <c r="G100" s="1">
        <v>0</v>
      </c>
      <c r="H100" s="1">
        <v>1</v>
      </c>
      <c r="I100" s="1">
        <v>2019</v>
      </c>
      <c r="J100" s="1">
        <v>4</v>
      </c>
      <c r="K100" s="1" t="s">
        <v>0</v>
      </c>
      <c r="L100" s="1">
        <v>1</v>
      </c>
      <c r="M100" s="1">
        <v>30</v>
      </c>
      <c r="N100" s="1">
        <v>0</v>
      </c>
      <c r="O100" s="1">
        <v>43873.631493055553</v>
      </c>
      <c r="P100" s="1">
        <v>50370143</v>
      </c>
      <c r="Q100" s="1">
        <v>44551504</v>
      </c>
      <c r="R100" s="1">
        <v>5818639</v>
      </c>
      <c r="S100" s="1">
        <v>0</v>
      </c>
      <c r="T100" s="1">
        <v>6070848</v>
      </c>
      <c r="U100" s="1"/>
      <c r="V100" s="1">
        <v>4240510</v>
      </c>
      <c r="W100" s="1">
        <v>1830338</v>
      </c>
      <c r="X100" s="1"/>
      <c r="Y100" s="1">
        <v>1981152</v>
      </c>
      <c r="Z100" s="1">
        <v>1728943</v>
      </c>
      <c r="AA100" s="1">
        <v>0</v>
      </c>
      <c r="AB100" s="1">
        <v>222254</v>
      </c>
      <c r="AC100" s="1"/>
      <c r="AD100" s="1"/>
      <c r="AE100" s="1"/>
      <c r="AF100" s="1">
        <v>222254</v>
      </c>
      <c r="AG100" s="1"/>
      <c r="AH100" s="1">
        <v>154650</v>
      </c>
      <c r="AI100" s="1"/>
      <c r="AJ100" s="1"/>
      <c r="AK100" s="1">
        <v>154650</v>
      </c>
      <c r="AL100" s="1"/>
      <c r="AM100" s="1">
        <v>1796547</v>
      </c>
      <c r="AN100" s="1">
        <v>0</v>
      </c>
      <c r="AO100" s="1"/>
      <c r="AP100" s="1"/>
      <c r="AQ100" s="1">
        <v>1796547</v>
      </c>
      <c r="AR100" s="1">
        <v>0</v>
      </c>
      <c r="AS100" s="1">
        <v>273456</v>
      </c>
      <c r="AT100" s="1"/>
      <c r="AU100" s="1">
        <v>1523091</v>
      </c>
      <c r="AV100" s="1">
        <v>0</v>
      </c>
    </row>
    <row r="101" spans="1:48" s="3" customFormat="1" ht="12" x14ac:dyDescent="0.2">
      <c r="A101" s="1">
        <v>20025</v>
      </c>
      <c r="B101" s="1">
        <v>0</v>
      </c>
      <c r="C101" s="7">
        <v>200663071</v>
      </c>
      <c r="D101" s="1" t="s">
        <v>140</v>
      </c>
      <c r="E101" s="1">
        <v>26</v>
      </c>
      <c r="F101" s="1">
        <v>11</v>
      </c>
      <c r="G101" s="1">
        <v>0</v>
      </c>
      <c r="H101" s="1">
        <v>1</v>
      </c>
      <c r="I101" s="1">
        <v>2018</v>
      </c>
      <c r="J101" s="1">
        <v>4</v>
      </c>
      <c r="K101" s="1" t="s">
        <v>0</v>
      </c>
      <c r="L101" s="1">
        <v>2</v>
      </c>
      <c r="M101" s="1">
        <v>30</v>
      </c>
      <c r="N101" s="1">
        <v>0</v>
      </c>
      <c r="O101" s="1">
        <v>43801.494560185187</v>
      </c>
      <c r="P101" s="1">
        <v>38827001</v>
      </c>
      <c r="Q101" s="1">
        <v>28548880</v>
      </c>
      <c r="R101" s="2">
        <v>10278121</v>
      </c>
      <c r="S101" s="2">
        <v>0</v>
      </c>
      <c r="T101" s="1">
        <v>6480756</v>
      </c>
      <c r="U101" s="1"/>
      <c r="V101" s="1">
        <v>3480820</v>
      </c>
      <c r="W101" s="1">
        <v>2999936</v>
      </c>
      <c r="X101" s="1"/>
      <c r="Y101" s="1">
        <v>2313385</v>
      </c>
      <c r="Z101" s="1">
        <v>6110750</v>
      </c>
      <c r="AA101" s="1">
        <v>0</v>
      </c>
      <c r="AB101" s="1">
        <v>494800</v>
      </c>
      <c r="AC101" s="1">
        <v>1100</v>
      </c>
      <c r="AD101" s="1"/>
      <c r="AE101" s="1"/>
      <c r="AF101" s="1">
        <v>493700</v>
      </c>
      <c r="AG101" s="1"/>
      <c r="AH101" s="1">
        <v>174948</v>
      </c>
      <c r="AI101" s="1"/>
      <c r="AJ101" s="1"/>
      <c r="AK101" s="1">
        <v>174948</v>
      </c>
      <c r="AL101" s="1"/>
      <c r="AM101" s="1">
        <v>6430602</v>
      </c>
      <c r="AN101" s="1">
        <v>0</v>
      </c>
      <c r="AO101" s="1"/>
      <c r="AP101" s="1"/>
      <c r="AQ101" s="1">
        <v>6430602</v>
      </c>
      <c r="AR101" s="1">
        <v>0</v>
      </c>
      <c r="AS101" s="1">
        <v>937925</v>
      </c>
      <c r="AT101" s="1"/>
      <c r="AU101" s="1">
        <v>5492677</v>
      </c>
      <c r="AV101" s="1">
        <v>0</v>
      </c>
    </row>
    <row r="102" spans="1:48" s="3" customFormat="1" ht="12" x14ac:dyDescent="0.2">
      <c r="A102" s="1">
        <v>20025</v>
      </c>
      <c r="B102" s="1">
        <v>0</v>
      </c>
      <c r="C102" s="1">
        <v>200670475</v>
      </c>
      <c r="D102" s="1" t="s">
        <v>141</v>
      </c>
      <c r="E102" s="1">
        <v>10</v>
      </c>
      <c r="F102" s="1">
        <v>1</v>
      </c>
      <c r="G102" s="1">
        <v>0</v>
      </c>
      <c r="H102" s="1">
        <v>1</v>
      </c>
      <c r="I102" s="1">
        <v>2021</v>
      </c>
      <c r="J102" s="1">
        <v>4</v>
      </c>
      <c r="K102" s="1" t="s">
        <v>0</v>
      </c>
      <c r="L102" s="1">
        <v>1</v>
      </c>
      <c r="M102" s="1">
        <v>30</v>
      </c>
      <c r="N102" s="1">
        <v>0</v>
      </c>
      <c r="O102" s="1">
        <v>44601.818969907406</v>
      </c>
      <c r="P102" s="1">
        <v>88831055</v>
      </c>
      <c r="Q102" s="1">
        <v>73640433</v>
      </c>
      <c r="R102" s="1">
        <v>15190622</v>
      </c>
      <c r="S102" s="1">
        <v>0</v>
      </c>
      <c r="T102" s="1">
        <v>8243544</v>
      </c>
      <c r="U102" s="1">
        <v>2402466</v>
      </c>
      <c r="V102" s="1">
        <v>857386</v>
      </c>
      <c r="W102" s="1">
        <v>4983692</v>
      </c>
      <c r="X102" s="1"/>
      <c r="Y102" s="1">
        <v>476653</v>
      </c>
      <c r="Z102" s="1">
        <v>7423731</v>
      </c>
      <c r="AA102" s="1">
        <v>0</v>
      </c>
      <c r="AB102" s="1"/>
      <c r="AC102" s="1"/>
      <c r="AD102" s="1"/>
      <c r="AE102" s="1"/>
      <c r="AF102" s="1"/>
      <c r="AG102" s="1"/>
      <c r="AH102" s="1">
        <v>5758</v>
      </c>
      <c r="AI102" s="1">
        <v>5758</v>
      </c>
      <c r="AJ102" s="1"/>
      <c r="AK102" s="1"/>
      <c r="AL102" s="1"/>
      <c r="AM102" s="1">
        <v>7417973</v>
      </c>
      <c r="AN102" s="1">
        <v>0</v>
      </c>
      <c r="AO102" s="1"/>
      <c r="AP102" s="1"/>
      <c r="AQ102" s="1">
        <v>7417973</v>
      </c>
      <c r="AR102" s="1">
        <v>0</v>
      </c>
      <c r="AS102" s="1">
        <v>1732130</v>
      </c>
      <c r="AT102" s="1"/>
      <c r="AU102" s="1">
        <v>5685843</v>
      </c>
      <c r="AV102" s="1">
        <v>0</v>
      </c>
    </row>
    <row r="103" spans="1:48" s="3" customFormat="1" ht="12" x14ac:dyDescent="0.2">
      <c r="A103" s="1">
        <v>20025</v>
      </c>
      <c r="B103" s="1">
        <v>0</v>
      </c>
      <c r="C103" s="1">
        <v>200670475</v>
      </c>
      <c r="D103" s="1" t="s">
        <v>141</v>
      </c>
      <c r="E103" s="1">
        <v>10</v>
      </c>
      <c r="F103" s="1">
        <v>1</v>
      </c>
      <c r="G103" s="1">
        <v>0</v>
      </c>
      <c r="H103" s="1">
        <v>1</v>
      </c>
      <c r="I103" s="1">
        <v>2020</v>
      </c>
      <c r="J103" s="1">
        <v>4</v>
      </c>
      <c r="K103" s="1" t="s">
        <v>0</v>
      </c>
      <c r="L103" s="1">
        <v>1</v>
      </c>
      <c r="M103" s="1">
        <v>30</v>
      </c>
      <c r="N103" s="1">
        <v>0</v>
      </c>
      <c r="O103" s="1">
        <v>44238.764606481483</v>
      </c>
      <c r="P103" s="1">
        <v>92485390</v>
      </c>
      <c r="Q103" s="1">
        <v>76490859</v>
      </c>
      <c r="R103" s="1">
        <v>15994531</v>
      </c>
      <c r="S103" s="1">
        <v>0</v>
      </c>
      <c r="T103" s="1">
        <v>6936107</v>
      </c>
      <c r="U103" s="1">
        <v>2389746</v>
      </c>
      <c r="V103" s="1">
        <v>868025</v>
      </c>
      <c r="W103" s="1">
        <v>3678336</v>
      </c>
      <c r="X103" s="1"/>
      <c r="Y103" s="1">
        <v>294567</v>
      </c>
      <c r="Z103" s="1">
        <v>9352991</v>
      </c>
      <c r="AA103" s="1">
        <v>0</v>
      </c>
      <c r="AB103" s="1"/>
      <c r="AC103" s="1"/>
      <c r="AD103" s="1"/>
      <c r="AE103" s="1"/>
      <c r="AF103" s="1"/>
      <c r="AG103" s="1"/>
      <c r="AH103" s="1">
        <v>283408</v>
      </c>
      <c r="AI103" s="1">
        <v>283408</v>
      </c>
      <c r="AJ103" s="1"/>
      <c r="AK103" s="1"/>
      <c r="AL103" s="1"/>
      <c r="AM103" s="1">
        <v>9069583</v>
      </c>
      <c r="AN103" s="1">
        <v>0</v>
      </c>
      <c r="AO103" s="1"/>
      <c r="AP103" s="1"/>
      <c r="AQ103" s="1">
        <v>9069583</v>
      </c>
      <c r="AR103" s="1">
        <v>0</v>
      </c>
      <c r="AS103" s="1">
        <v>1544349</v>
      </c>
      <c r="AT103" s="1"/>
      <c r="AU103" s="1">
        <v>7525234</v>
      </c>
      <c r="AV103" s="1">
        <v>0</v>
      </c>
    </row>
    <row r="104" spans="1:48" s="3" customFormat="1" ht="12" x14ac:dyDescent="0.2">
      <c r="A104" s="1">
        <v>20025</v>
      </c>
      <c r="B104" s="1">
        <v>0</v>
      </c>
      <c r="C104" s="1">
        <v>200670475</v>
      </c>
      <c r="D104" s="1" t="s">
        <v>141</v>
      </c>
      <c r="E104" s="1">
        <v>10</v>
      </c>
      <c r="F104" s="1">
        <v>1</v>
      </c>
      <c r="G104" s="1">
        <v>0</v>
      </c>
      <c r="H104" s="1">
        <v>1</v>
      </c>
      <c r="I104" s="1">
        <v>2019</v>
      </c>
      <c r="J104" s="1">
        <v>4</v>
      </c>
      <c r="K104" s="1" t="s">
        <v>0</v>
      </c>
      <c r="L104" s="1">
        <v>1</v>
      </c>
      <c r="M104" s="1">
        <v>30</v>
      </c>
      <c r="N104" s="1">
        <v>0</v>
      </c>
      <c r="O104" s="1">
        <v>43873.789340277777</v>
      </c>
      <c r="P104" s="1">
        <v>92676320</v>
      </c>
      <c r="Q104" s="1">
        <v>73903687</v>
      </c>
      <c r="R104" s="1">
        <v>18772633</v>
      </c>
      <c r="S104" s="1">
        <v>0</v>
      </c>
      <c r="T104" s="1">
        <v>10219245</v>
      </c>
      <c r="U104" s="1">
        <v>2477619</v>
      </c>
      <c r="V104" s="1">
        <v>697547</v>
      </c>
      <c r="W104" s="1">
        <v>7044079</v>
      </c>
      <c r="X104" s="1"/>
      <c r="Y104" s="1">
        <v>92651</v>
      </c>
      <c r="Z104" s="1">
        <v>8646039</v>
      </c>
      <c r="AA104" s="1">
        <v>0</v>
      </c>
      <c r="AB104" s="1">
        <v>1558</v>
      </c>
      <c r="AC104" s="1">
        <v>1558</v>
      </c>
      <c r="AD104" s="1"/>
      <c r="AE104" s="1"/>
      <c r="AF104" s="1"/>
      <c r="AG104" s="1"/>
      <c r="AH104" s="1">
        <v>701687</v>
      </c>
      <c r="AI104" s="1">
        <v>701687</v>
      </c>
      <c r="AJ104" s="1"/>
      <c r="AK104" s="1"/>
      <c r="AL104" s="1"/>
      <c r="AM104" s="1">
        <v>7945910</v>
      </c>
      <c r="AN104" s="1">
        <v>0</v>
      </c>
      <c r="AO104" s="1"/>
      <c r="AP104" s="1"/>
      <c r="AQ104" s="1">
        <v>7945910</v>
      </c>
      <c r="AR104" s="1">
        <v>0</v>
      </c>
      <c r="AS104" s="1">
        <v>1743823</v>
      </c>
      <c r="AT104" s="1"/>
      <c r="AU104" s="1">
        <v>6202087</v>
      </c>
      <c r="AV104" s="1">
        <v>0</v>
      </c>
    </row>
    <row r="105" spans="1:48" s="3" customFormat="1" ht="12" x14ac:dyDescent="0.2">
      <c r="A105" s="1">
        <v>20025</v>
      </c>
      <c r="B105" s="1">
        <v>0</v>
      </c>
      <c r="C105" s="7">
        <v>200670475</v>
      </c>
      <c r="D105" s="1" t="s">
        <v>141</v>
      </c>
      <c r="E105" s="1">
        <v>10</v>
      </c>
      <c r="F105" s="1">
        <v>1</v>
      </c>
      <c r="G105" s="1">
        <v>0</v>
      </c>
      <c r="H105" s="1">
        <v>1</v>
      </c>
      <c r="I105" s="1">
        <v>2018</v>
      </c>
      <c r="J105" s="1">
        <v>4</v>
      </c>
      <c r="K105" s="1" t="s">
        <v>0</v>
      </c>
      <c r="L105" s="1">
        <v>2</v>
      </c>
      <c r="M105" s="1">
        <v>30</v>
      </c>
      <c r="N105" s="1">
        <v>0</v>
      </c>
      <c r="O105" s="1">
        <v>43522.606944444444</v>
      </c>
      <c r="P105" s="1">
        <v>46192439</v>
      </c>
      <c r="Q105" s="1">
        <v>35758921</v>
      </c>
      <c r="R105" s="2">
        <v>10433518</v>
      </c>
      <c r="S105" s="2">
        <v>0</v>
      </c>
      <c r="T105" s="1">
        <v>5405356</v>
      </c>
      <c r="U105" s="1"/>
      <c r="V105" s="1">
        <v>2125002</v>
      </c>
      <c r="W105" s="1">
        <v>479718</v>
      </c>
      <c r="X105" s="1">
        <v>2800636</v>
      </c>
      <c r="Y105" s="1">
        <v>244535</v>
      </c>
      <c r="Z105" s="1">
        <v>5272697</v>
      </c>
      <c r="AA105" s="1">
        <v>0</v>
      </c>
      <c r="AB105" s="1">
        <v>18122</v>
      </c>
      <c r="AC105" s="1">
        <v>15010</v>
      </c>
      <c r="AD105" s="1"/>
      <c r="AE105" s="1"/>
      <c r="AF105" s="1"/>
      <c r="AG105" s="1">
        <v>3112</v>
      </c>
      <c r="AH105" s="1">
        <v>527155</v>
      </c>
      <c r="AI105" s="1">
        <v>527155</v>
      </c>
      <c r="AJ105" s="1"/>
      <c r="AK105" s="1"/>
      <c r="AL105" s="1"/>
      <c r="AM105" s="1">
        <v>4763664</v>
      </c>
      <c r="AN105" s="1">
        <v>0</v>
      </c>
      <c r="AO105" s="1"/>
      <c r="AP105" s="1"/>
      <c r="AQ105" s="1">
        <v>4763664</v>
      </c>
      <c r="AR105" s="1">
        <v>0</v>
      </c>
      <c r="AS105" s="1">
        <v>920809</v>
      </c>
      <c r="AT105" s="1">
        <v>0</v>
      </c>
      <c r="AU105" s="1">
        <v>3842855</v>
      </c>
      <c r="AV105" s="1">
        <v>0</v>
      </c>
    </row>
    <row r="106" spans="1:48" s="3" customFormat="1" ht="12" x14ac:dyDescent="0.2">
      <c r="A106" s="1">
        <v>20025</v>
      </c>
      <c r="B106" s="1">
        <v>0</v>
      </c>
      <c r="C106" s="1">
        <v>200846040</v>
      </c>
      <c r="D106" s="1" t="s">
        <v>142</v>
      </c>
      <c r="E106" s="1">
        <v>26</v>
      </c>
      <c r="F106" s="1">
        <v>9</v>
      </c>
      <c r="G106" s="1">
        <v>0</v>
      </c>
      <c r="H106" s="1">
        <v>1</v>
      </c>
      <c r="I106" s="1">
        <v>2021</v>
      </c>
      <c r="J106" s="1">
        <v>4</v>
      </c>
      <c r="K106" s="1" t="s">
        <v>0</v>
      </c>
      <c r="L106" s="1">
        <v>2</v>
      </c>
      <c r="M106" s="1">
        <v>30</v>
      </c>
      <c r="N106" s="1">
        <v>0</v>
      </c>
      <c r="O106" s="1">
        <v>44630.622071759259</v>
      </c>
      <c r="P106" s="1">
        <v>25817873.98</v>
      </c>
      <c r="Q106" s="1">
        <v>20615709.609999999</v>
      </c>
      <c r="R106" s="1">
        <v>5202164.37</v>
      </c>
      <c r="S106" s="1">
        <v>0</v>
      </c>
      <c r="T106" s="1">
        <v>13249096.210000001</v>
      </c>
      <c r="U106" s="1">
        <v>1818985.37</v>
      </c>
      <c r="V106" s="1">
        <v>3087220.66</v>
      </c>
      <c r="W106" s="1">
        <v>8342890.1799999997</v>
      </c>
      <c r="X106" s="1"/>
      <c r="Y106" s="1">
        <v>6340226.3099999996</v>
      </c>
      <c r="Z106" s="1">
        <v>0</v>
      </c>
      <c r="AA106" s="1">
        <v>1706705.53</v>
      </c>
      <c r="AB106" s="1">
        <v>38150.629999999997</v>
      </c>
      <c r="AC106" s="1">
        <v>4077.79</v>
      </c>
      <c r="AD106" s="1"/>
      <c r="AE106" s="1"/>
      <c r="AF106" s="1">
        <v>34072.839999999997</v>
      </c>
      <c r="AG106" s="1"/>
      <c r="AH106" s="1">
        <v>148224.72</v>
      </c>
      <c r="AI106" s="1">
        <v>86855.35</v>
      </c>
      <c r="AJ106" s="1"/>
      <c r="AK106" s="1">
        <v>61369.37</v>
      </c>
      <c r="AL106" s="1"/>
      <c r="AM106" s="1">
        <v>0</v>
      </c>
      <c r="AN106" s="1">
        <v>1816779.62</v>
      </c>
      <c r="AO106" s="1"/>
      <c r="AP106" s="1"/>
      <c r="AQ106" s="1">
        <v>0</v>
      </c>
      <c r="AR106" s="1">
        <v>1816779.62</v>
      </c>
      <c r="AS106" s="1">
        <v>859445.22</v>
      </c>
      <c r="AT106" s="1"/>
      <c r="AU106" s="1">
        <v>-2676224.84</v>
      </c>
      <c r="AV106" s="1">
        <v>2676224.84</v>
      </c>
    </row>
    <row r="107" spans="1:48" s="3" customFormat="1" ht="12" x14ac:dyDescent="0.2">
      <c r="A107" s="1">
        <v>20025</v>
      </c>
      <c r="B107" s="1">
        <v>0</v>
      </c>
      <c r="C107" s="1">
        <v>200846040</v>
      </c>
      <c r="D107" s="1" t="s">
        <v>142</v>
      </c>
      <c r="E107" s="1">
        <v>26</v>
      </c>
      <c r="F107" s="1">
        <v>9</v>
      </c>
      <c r="G107" s="1">
        <v>0</v>
      </c>
      <c r="H107" s="1">
        <v>1</v>
      </c>
      <c r="I107" s="1">
        <v>2020</v>
      </c>
      <c r="J107" s="1">
        <v>4</v>
      </c>
      <c r="K107" s="1" t="s">
        <v>0</v>
      </c>
      <c r="L107" s="1">
        <v>1</v>
      </c>
      <c r="M107" s="1">
        <v>30</v>
      </c>
      <c r="N107" s="1">
        <v>0</v>
      </c>
      <c r="O107" s="1">
        <v>44246.432662037034</v>
      </c>
      <c r="P107" s="1">
        <v>30053605.960000001</v>
      </c>
      <c r="Q107" s="1">
        <v>25422904.120000001</v>
      </c>
      <c r="R107" s="1">
        <v>4630701.84</v>
      </c>
      <c r="S107" s="1">
        <v>0</v>
      </c>
      <c r="T107" s="1">
        <v>5383711.8899999997</v>
      </c>
      <c r="U107" s="1">
        <v>323907.49</v>
      </c>
      <c r="V107" s="1">
        <v>2835907.9</v>
      </c>
      <c r="W107" s="1">
        <v>2223896.5</v>
      </c>
      <c r="X107" s="1"/>
      <c r="Y107" s="1">
        <v>1863182</v>
      </c>
      <c r="Z107" s="1">
        <v>1110171.95</v>
      </c>
      <c r="AA107" s="1">
        <v>0</v>
      </c>
      <c r="AB107" s="1">
        <v>310865.71000000002</v>
      </c>
      <c r="AC107" s="1">
        <v>70086.98</v>
      </c>
      <c r="AD107" s="1"/>
      <c r="AE107" s="1"/>
      <c r="AF107" s="1">
        <v>240778.73</v>
      </c>
      <c r="AG107" s="1"/>
      <c r="AH107" s="1">
        <v>1149018.3600000001</v>
      </c>
      <c r="AI107" s="1">
        <v>855189.57</v>
      </c>
      <c r="AJ107" s="1"/>
      <c r="AK107" s="1">
        <v>293828.78999999998</v>
      </c>
      <c r="AL107" s="1"/>
      <c r="AM107" s="1">
        <v>272019.3</v>
      </c>
      <c r="AN107" s="1">
        <v>0</v>
      </c>
      <c r="AO107" s="1"/>
      <c r="AP107" s="1"/>
      <c r="AQ107" s="1">
        <v>272019.3</v>
      </c>
      <c r="AR107" s="1">
        <v>0</v>
      </c>
      <c r="AS107" s="1">
        <v>40802.94</v>
      </c>
      <c r="AT107" s="1"/>
      <c r="AU107" s="1">
        <v>231216.36</v>
      </c>
      <c r="AV107" s="1">
        <v>0</v>
      </c>
    </row>
    <row r="108" spans="1:48" s="3" customFormat="1" ht="12" x14ac:dyDescent="0.2">
      <c r="A108" s="1">
        <v>20025</v>
      </c>
      <c r="B108" s="1">
        <v>0</v>
      </c>
      <c r="C108" s="1">
        <v>200846040</v>
      </c>
      <c r="D108" s="1" t="s">
        <v>142</v>
      </c>
      <c r="E108" s="1">
        <v>26</v>
      </c>
      <c r="F108" s="1">
        <v>9</v>
      </c>
      <c r="G108" s="1">
        <v>0</v>
      </c>
      <c r="H108" s="1">
        <v>1</v>
      </c>
      <c r="I108" s="1">
        <v>2019</v>
      </c>
      <c r="J108" s="1">
        <v>4</v>
      </c>
      <c r="K108" s="1" t="s">
        <v>0</v>
      </c>
      <c r="L108" s="1">
        <v>1</v>
      </c>
      <c r="M108" s="1">
        <v>30</v>
      </c>
      <c r="N108" s="1">
        <v>0</v>
      </c>
      <c r="O108" s="1">
        <v>43875.556932870371</v>
      </c>
      <c r="P108" s="1">
        <v>31295429</v>
      </c>
      <c r="Q108" s="1">
        <v>24718629</v>
      </c>
      <c r="R108" s="1">
        <v>6576800</v>
      </c>
      <c r="S108" s="1">
        <v>0</v>
      </c>
      <c r="T108" s="1">
        <v>6527125</v>
      </c>
      <c r="U108" s="1">
        <v>590412</v>
      </c>
      <c r="V108" s="1">
        <v>2311602</v>
      </c>
      <c r="W108" s="1">
        <v>3625111</v>
      </c>
      <c r="X108" s="1"/>
      <c r="Y108" s="1">
        <v>521933</v>
      </c>
      <c r="Z108" s="1">
        <v>571608</v>
      </c>
      <c r="AA108" s="1">
        <v>0</v>
      </c>
      <c r="AB108" s="1">
        <v>180338</v>
      </c>
      <c r="AC108" s="1">
        <v>3163</v>
      </c>
      <c r="AD108" s="1">
        <v>8649</v>
      </c>
      <c r="AE108" s="1"/>
      <c r="AF108" s="1">
        <v>168526</v>
      </c>
      <c r="AG108" s="1"/>
      <c r="AH108" s="1">
        <v>510564</v>
      </c>
      <c r="AI108" s="1">
        <v>336530</v>
      </c>
      <c r="AJ108" s="1"/>
      <c r="AK108" s="1">
        <v>174034</v>
      </c>
      <c r="AL108" s="1"/>
      <c r="AM108" s="1">
        <v>241382</v>
      </c>
      <c r="AN108" s="1">
        <v>0</v>
      </c>
      <c r="AO108" s="1"/>
      <c r="AP108" s="1"/>
      <c r="AQ108" s="1">
        <v>241382</v>
      </c>
      <c r="AR108" s="1">
        <v>0</v>
      </c>
      <c r="AS108" s="1">
        <v>54927</v>
      </c>
      <c r="AT108" s="1"/>
      <c r="AU108" s="1">
        <v>186455</v>
      </c>
      <c r="AV108" s="1">
        <v>0</v>
      </c>
    </row>
    <row r="109" spans="1:48" s="3" customFormat="1" ht="12" x14ac:dyDescent="0.2">
      <c r="A109" s="1">
        <v>20025</v>
      </c>
      <c r="B109" s="1">
        <v>0</v>
      </c>
      <c r="C109" s="7">
        <v>200846040</v>
      </c>
      <c r="D109" s="1" t="s">
        <v>142</v>
      </c>
      <c r="E109" s="1">
        <v>26</v>
      </c>
      <c r="F109" s="1">
        <v>9</v>
      </c>
      <c r="G109" s="1">
        <v>0</v>
      </c>
      <c r="H109" s="1">
        <v>1</v>
      </c>
      <c r="I109" s="1">
        <v>2018</v>
      </c>
      <c r="J109" s="1">
        <v>4</v>
      </c>
      <c r="K109" s="1" t="s">
        <v>0</v>
      </c>
      <c r="L109" s="1">
        <v>1</v>
      </c>
      <c r="M109" s="1">
        <v>30</v>
      </c>
      <c r="N109" s="1">
        <v>0</v>
      </c>
      <c r="O109" s="1">
        <v>43507.766956018517</v>
      </c>
      <c r="P109" s="1">
        <v>77701111</v>
      </c>
      <c r="Q109" s="1">
        <v>63376844.600000001</v>
      </c>
      <c r="R109" s="2">
        <v>14324266.4</v>
      </c>
      <c r="S109" s="2">
        <v>0</v>
      </c>
      <c r="T109" s="1">
        <v>8149522.2999999998</v>
      </c>
      <c r="U109" s="1">
        <v>679245.9</v>
      </c>
      <c r="V109" s="1">
        <v>2773935.9</v>
      </c>
      <c r="W109" s="1">
        <v>4696340.5</v>
      </c>
      <c r="X109" s="1">
        <v>0</v>
      </c>
      <c r="Y109" s="1">
        <v>112351.5</v>
      </c>
      <c r="Z109" s="1">
        <v>6287095.5999999996</v>
      </c>
      <c r="AA109" s="1">
        <v>0</v>
      </c>
      <c r="AB109" s="1">
        <v>147065.5</v>
      </c>
      <c r="AC109" s="1">
        <v>0</v>
      </c>
      <c r="AD109" s="1">
        <v>0</v>
      </c>
      <c r="AE109" s="1">
        <v>0</v>
      </c>
      <c r="AF109" s="1">
        <v>147065.5</v>
      </c>
      <c r="AG109" s="1">
        <v>0</v>
      </c>
      <c r="AH109" s="1">
        <v>666871.6</v>
      </c>
      <c r="AI109" s="1">
        <v>391135.6</v>
      </c>
      <c r="AJ109" s="1">
        <v>0</v>
      </c>
      <c r="AK109" s="1">
        <v>275736</v>
      </c>
      <c r="AL109" s="1">
        <v>0</v>
      </c>
      <c r="AM109" s="1">
        <v>5767289.5</v>
      </c>
      <c r="AN109" s="1">
        <v>0</v>
      </c>
      <c r="AO109" s="1">
        <v>0</v>
      </c>
      <c r="AP109" s="1">
        <v>0</v>
      </c>
      <c r="AQ109" s="1">
        <v>5767289.5</v>
      </c>
      <c r="AR109" s="1">
        <v>0</v>
      </c>
      <c r="AS109" s="1">
        <v>1685295</v>
      </c>
      <c r="AT109" s="1">
        <v>0</v>
      </c>
      <c r="AU109" s="1">
        <v>4081994.5</v>
      </c>
      <c r="AV109" s="1">
        <v>0</v>
      </c>
    </row>
    <row r="110" spans="1:48" s="3" customFormat="1" ht="12" x14ac:dyDescent="0.2">
      <c r="A110" s="1">
        <v>20025</v>
      </c>
      <c r="B110" s="1">
        <v>0</v>
      </c>
      <c r="C110" s="1">
        <v>201039410</v>
      </c>
      <c r="D110" s="1" t="s">
        <v>143</v>
      </c>
      <c r="E110" s="1">
        <v>30</v>
      </c>
      <c r="F110" s="1">
        <v>5</v>
      </c>
      <c r="G110" s="1">
        <v>0</v>
      </c>
      <c r="H110" s="1">
        <v>1</v>
      </c>
      <c r="I110" s="1">
        <v>2021</v>
      </c>
      <c r="J110" s="1">
        <v>4</v>
      </c>
      <c r="K110" s="1" t="s">
        <v>0</v>
      </c>
      <c r="L110" s="1">
        <v>1</v>
      </c>
      <c r="M110" s="1">
        <v>30</v>
      </c>
      <c r="N110" s="1">
        <v>0</v>
      </c>
      <c r="O110" s="1">
        <v>44645.661724537036</v>
      </c>
      <c r="P110" s="1">
        <v>3564309</v>
      </c>
      <c r="Q110" s="1">
        <v>2696590</v>
      </c>
      <c r="R110" s="1">
        <v>867719</v>
      </c>
      <c r="S110" s="1">
        <v>0</v>
      </c>
      <c r="T110" s="1">
        <v>1711736</v>
      </c>
      <c r="U110" s="1">
        <v>6077</v>
      </c>
      <c r="V110" s="1">
        <v>1150272</v>
      </c>
      <c r="W110" s="1">
        <v>555387</v>
      </c>
      <c r="X110" s="1"/>
      <c r="Y110" s="1"/>
      <c r="Z110" s="1">
        <v>0</v>
      </c>
      <c r="AA110" s="1">
        <v>844017</v>
      </c>
      <c r="AB110" s="1">
        <v>864733</v>
      </c>
      <c r="AC110" s="1"/>
      <c r="AD110" s="1"/>
      <c r="AE110" s="1"/>
      <c r="AF110" s="1"/>
      <c r="AG110" s="1">
        <v>864733</v>
      </c>
      <c r="AH110" s="1">
        <v>0</v>
      </c>
      <c r="AI110" s="1"/>
      <c r="AJ110" s="1"/>
      <c r="AK110" s="1"/>
      <c r="AL110" s="1"/>
      <c r="AM110" s="1">
        <v>20716</v>
      </c>
      <c r="AN110" s="1">
        <v>0</v>
      </c>
      <c r="AO110" s="1"/>
      <c r="AP110" s="1"/>
      <c r="AQ110" s="1">
        <v>20716</v>
      </c>
      <c r="AR110" s="1">
        <v>0</v>
      </c>
      <c r="AS110" s="1">
        <v>3107</v>
      </c>
      <c r="AT110" s="1"/>
      <c r="AU110" s="1">
        <v>17609</v>
      </c>
      <c r="AV110" s="1">
        <v>0</v>
      </c>
    </row>
    <row r="111" spans="1:48" s="3" customFormat="1" ht="12" x14ac:dyDescent="0.2">
      <c r="A111" s="1">
        <v>20025</v>
      </c>
      <c r="B111" s="1">
        <v>0</v>
      </c>
      <c r="C111" s="1">
        <v>201039410</v>
      </c>
      <c r="D111" s="1" t="s">
        <v>143</v>
      </c>
      <c r="E111" s="1">
        <v>30</v>
      </c>
      <c r="F111" s="1">
        <v>5</v>
      </c>
      <c r="G111" s="1">
        <v>0</v>
      </c>
      <c r="H111" s="1">
        <v>1</v>
      </c>
      <c r="I111" s="1">
        <v>2020</v>
      </c>
      <c r="J111" s="1">
        <v>4</v>
      </c>
      <c r="K111" s="1" t="s">
        <v>0</v>
      </c>
      <c r="L111" s="1">
        <v>1</v>
      </c>
      <c r="M111" s="1">
        <v>30</v>
      </c>
      <c r="N111" s="1">
        <v>0</v>
      </c>
      <c r="O111" s="1">
        <v>44280.49795138889</v>
      </c>
      <c r="P111" s="1">
        <v>3351091</v>
      </c>
      <c r="Q111" s="1">
        <v>2687450</v>
      </c>
      <c r="R111" s="1">
        <v>663641</v>
      </c>
      <c r="S111" s="1">
        <v>0</v>
      </c>
      <c r="T111" s="1">
        <v>687177</v>
      </c>
      <c r="U111" s="1">
        <v>520</v>
      </c>
      <c r="V111" s="1">
        <v>526933</v>
      </c>
      <c r="W111" s="1">
        <v>159724</v>
      </c>
      <c r="X111" s="1"/>
      <c r="Y111" s="1">
        <v>53450</v>
      </c>
      <c r="Z111" s="1">
        <v>29914</v>
      </c>
      <c r="AA111" s="1">
        <v>0</v>
      </c>
      <c r="AB111" s="1">
        <v>0</v>
      </c>
      <c r="AC111" s="1"/>
      <c r="AD111" s="1"/>
      <c r="AE111" s="1"/>
      <c r="AF111" s="1"/>
      <c r="AG111" s="1"/>
      <c r="AH111" s="1">
        <v>22600</v>
      </c>
      <c r="AI111" s="1">
        <v>22600</v>
      </c>
      <c r="AJ111" s="1"/>
      <c r="AK111" s="1"/>
      <c r="AL111" s="1"/>
      <c r="AM111" s="1">
        <v>7314</v>
      </c>
      <c r="AN111" s="1">
        <v>0</v>
      </c>
      <c r="AO111" s="1"/>
      <c r="AP111" s="1"/>
      <c r="AQ111" s="1">
        <v>7314</v>
      </c>
      <c r="AR111" s="1">
        <v>0</v>
      </c>
      <c r="AS111" s="1">
        <v>1097</v>
      </c>
      <c r="AT111" s="1"/>
      <c r="AU111" s="1">
        <v>6217</v>
      </c>
      <c r="AV111" s="1">
        <v>0</v>
      </c>
    </row>
    <row r="112" spans="1:48" s="3" customFormat="1" ht="12" x14ac:dyDescent="0.2">
      <c r="A112" s="1">
        <v>20025</v>
      </c>
      <c r="B112" s="1">
        <v>0</v>
      </c>
      <c r="C112" s="1">
        <v>201039410</v>
      </c>
      <c r="D112" s="1" t="s">
        <v>143</v>
      </c>
      <c r="E112" s="1">
        <v>30</v>
      </c>
      <c r="F112" s="1">
        <v>5</v>
      </c>
      <c r="G112" s="1">
        <v>0</v>
      </c>
      <c r="H112" s="1">
        <v>1</v>
      </c>
      <c r="I112" s="1">
        <v>2019</v>
      </c>
      <c r="J112" s="1">
        <v>4</v>
      </c>
      <c r="K112" s="1" t="s">
        <v>0</v>
      </c>
      <c r="L112" s="1">
        <v>2</v>
      </c>
      <c r="M112" s="1">
        <v>30</v>
      </c>
      <c r="N112" s="1">
        <v>0</v>
      </c>
      <c r="O112" s="1">
        <v>44021.636944444443</v>
      </c>
      <c r="P112" s="1">
        <v>4674519</v>
      </c>
      <c r="Q112" s="1">
        <v>3331916</v>
      </c>
      <c r="R112" s="1">
        <v>1342603</v>
      </c>
      <c r="S112" s="1">
        <v>0</v>
      </c>
      <c r="T112" s="1">
        <v>1332979</v>
      </c>
      <c r="U112" s="1">
        <v>8781</v>
      </c>
      <c r="V112" s="1">
        <v>895228</v>
      </c>
      <c r="W112" s="1">
        <v>428970</v>
      </c>
      <c r="X112" s="1"/>
      <c r="Y112" s="1"/>
      <c r="Z112" s="1">
        <v>9624</v>
      </c>
      <c r="AA112" s="1">
        <v>0</v>
      </c>
      <c r="AB112" s="1">
        <v>8894</v>
      </c>
      <c r="AC112" s="1"/>
      <c r="AD112" s="1"/>
      <c r="AE112" s="1"/>
      <c r="AF112" s="1"/>
      <c r="AG112" s="1">
        <v>8894</v>
      </c>
      <c r="AH112" s="1"/>
      <c r="AI112" s="1"/>
      <c r="AJ112" s="1"/>
      <c r="AK112" s="1"/>
      <c r="AL112" s="1"/>
      <c r="AM112" s="1">
        <v>18518</v>
      </c>
      <c r="AN112" s="1">
        <v>0</v>
      </c>
      <c r="AO112" s="1"/>
      <c r="AP112" s="1"/>
      <c r="AQ112" s="1">
        <v>18518</v>
      </c>
      <c r="AR112" s="1">
        <v>0</v>
      </c>
      <c r="AS112" s="1"/>
      <c r="AT112" s="1">
        <v>2222</v>
      </c>
      <c r="AU112" s="1">
        <v>16296</v>
      </c>
      <c r="AV112" s="1">
        <v>0</v>
      </c>
    </row>
    <row r="113" spans="1:48" s="3" customFormat="1" ht="12" x14ac:dyDescent="0.2">
      <c r="A113" s="1">
        <v>20025</v>
      </c>
      <c r="B113" s="1">
        <v>0</v>
      </c>
      <c r="C113" s="7">
        <v>201039410</v>
      </c>
      <c r="D113" s="1" t="s">
        <v>143</v>
      </c>
      <c r="E113" s="1">
        <v>30</v>
      </c>
      <c r="F113" s="1">
        <v>5</v>
      </c>
      <c r="G113" s="1">
        <v>0</v>
      </c>
      <c r="H113" s="1">
        <v>1</v>
      </c>
      <c r="I113" s="1">
        <v>2018</v>
      </c>
      <c r="J113" s="1">
        <v>4</v>
      </c>
      <c r="K113" s="1" t="s">
        <v>0</v>
      </c>
      <c r="L113" s="1">
        <v>1</v>
      </c>
      <c r="M113" s="1">
        <v>30</v>
      </c>
      <c r="N113" s="1">
        <v>0</v>
      </c>
      <c r="O113" s="1">
        <v>43549.725162037037</v>
      </c>
      <c r="P113" s="1">
        <v>4125544</v>
      </c>
      <c r="Q113" s="1">
        <v>2876137</v>
      </c>
      <c r="R113" s="2">
        <v>1249407</v>
      </c>
      <c r="S113" s="2">
        <v>0</v>
      </c>
      <c r="T113" s="1">
        <v>998949</v>
      </c>
      <c r="U113" s="1">
        <v>55552</v>
      </c>
      <c r="V113" s="1">
        <v>755799</v>
      </c>
      <c r="W113" s="1">
        <v>187598</v>
      </c>
      <c r="X113" s="1"/>
      <c r="Y113" s="1">
        <v>56968</v>
      </c>
      <c r="Z113" s="1">
        <v>307426</v>
      </c>
      <c r="AA113" s="1">
        <v>0</v>
      </c>
      <c r="AB113" s="1"/>
      <c r="AC113" s="1"/>
      <c r="AD113" s="1"/>
      <c r="AE113" s="1"/>
      <c r="AF113" s="1"/>
      <c r="AG113" s="1"/>
      <c r="AH113" s="1">
        <v>84130</v>
      </c>
      <c r="AI113" s="1">
        <v>84130</v>
      </c>
      <c r="AJ113" s="1"/>
      <c r="AK113" s="1"/>
      <c r="AL113" s="1"/>
      <c r="AM113" s="1">
        <v>223296</v>
      </c>
      <c r="AN113" s="1">
        <v>0</v>
      </c>
      <c r="AO113" s="1"/>
      <c r="AP113" s="1"/>
      <c r="AQ113" s="1">
        <v>223296</v>
      </c>
      <c r="AR113" s="1">
        <v>0</v>
      </c>
      <c r="AS113" s="1">
        <v>207447</v>
      </c>
      <c r="AT113" s="1"/>
      <c r="AU113" s="1">
        <v>15849</v>
      </c>
      <c r="AV113" s="1">
        <v>0</v>
      </c>
    </row>
    <row r="114" spans="1:48" s="3" customFormat="1" ht="12" x14ac:dyDescent="0.2">
      <c r="A114" s="1">
        <v>20025</v>
      </c>
      <c r="B114" s="1">
        <v>0</v>
      </c>
      <c r="C114" s="1">
        <v>201051785</v>
      </c>
      <c r="D114" s="1" t="s">
        <v>144</v>
      </c>
      <c r="E114" s="1">
        <v>26</v>
      </c>
      <c r="F114" s="1">
        <v>1</v>
      </c>
      <c r="G114" s="1">
        <v>0</v>
      </c>
      <c r="H114" s="1">
        <v>1</v>
      </c>
      <c r="I114" s="1">
        <v>2021</v>
      </c>
      <c r="J114" s="1">
        <v>4</v>
      </c>
      <c r="K114" s="1" t="s">
        <v>0</v>
      </c>
      <c r="L114" s="1">
        <v>1</v>
      </c>
      <c r="M114" s="1">
        <v>30</v>
      </c>
      <c r="N114" s="1">
        <v>0</v>
      </c>
      <c r="O114" s="1">
        <v>44606.543124999997</v>
      </c>
      <c r="P114" s="1">
        <v>24112381</v>
      </c>
      <c r="Q114" s="1">
        <v>13562162</v>
      </c>
      <c r="R114" s="1">
        <v>10550219</v>
      </c>
      <c r="S114" s="1">
        <v>0</v>
      </c>
      <c r="T114" s="1">
        <v>12112335</v>
      </c>
      <c r="U114" s="1">
        <v>154859</v>
      </c>
      <c r="V114" s="1">
        <v>2474746</v>
      </c>
      <c r="W114" s="1">
        <v>9482730</v>
      </c>
      <c r="X114" s="1"/>
      <c r="Y114" s="1">
        <v>2910598</v>
      </c>
      <c r="Z114" s="1">
        <v>1348482</v>
      </c>
      <c r="AA114" s="1">
        <v>0</v>
      </c>
      <c r="AB114" s="1">
        <v>607425</v>
      </c>
      <c r="AC114" s="1"/>
      <c r="AD114" s="1"/>
      <c r="AE114" s="1"/>
      <c r="AF114" s="1">
        <v>607425</v>
      </c>
      <c r="AG114" s="1"/>
      <c r="AH114" s="1">
        <v>441353</v>
      </c>
      <c r="AI114" s="1"/>
      <c r="AJ114" s="1"/>
      <c r="AK114" s="1">
        <v>441353</v>
      </c>
      <c r="AL114" s="1"/>
      <c r="AM114" s="1">
        <v>1514554</v>
      </c>
      <c r="AN114" s="1">
        <v>0</v>
      </c>
      <c r="AO114" s="1"/>
      <c r="AP114" s="1"/>
      <c r="AQ114" s="1">
        <v>1514554</v>
      </c>
      <c r="AR114" s="1">
        <v>0</v>
      </c>
      <c r="AS114" s="1">
        <v>292394</v>
      </c>
      <c r="AT114" s="1"/>
      <c r="AU114" s="1">
        <v>1222160</v>
      </c>
      <c r="AV114" s="1">
        <v>0</v>
      </c>
    </row>
    <row r="115" spans="1:48" s="3" customFormat="1" ht="12" x14ac:dyDescent="0.2">
      <c r="A115" s="1">
        <v>20025</v>
      </c>
      <c r="B115" s="1">
        <v>0</v>
      </c>
      <c r="C115" s="1">
        <v>201051785</v>
      </c>
      <c r="D115" s="1" t="s">
        <v>144</v>
      </c>
      <c r="E115" s="1">
        <v>26</v>
      </c>
      <c r="F115" s="1">
        <v>1</v>
      </c>
      <c r="G115" s="1">
        <v>0</v>
      </c>
      <c r="H115" s="1">
        <v>1</v>
      </c>
      <c r="I115" s="1">
        <v>2020</v>
      </c>
      <c r="J115" s="1">
        <v>4</v>
      </c>
      <c r="K115" s="1" t="s">
        <v>0</v>
      </c>
      <c r="L115" s="1">
        <v>1</v>
      </c>
      <c r="M115" s="1">
        <v>30</v>
      </c>
      <c r="N115" s="1">
        <v>0</v>
      </c>
      <c r="O115" s="1">
        <v>44238.338993055557</v>
      </c>
      <c r="P115" s="1">
        <v>21938584</v>
      </c>
      <c r="Q115" s="1">
        <v>13346043</v>
      </c>
      <c r="R115" s="1">
        <v>8592541</v>
      </c>
      <c r="S115" s="1">
        <v>0</v>
      </c>
      <c r="T115" s="1">
        <v>10040488</v>
      </c>
      <c r="U115" s="1">
        <v>194611</v>
      </c>
      <c r="V115" s="1">
        <v>1533573</v>
      </c>
      <c r="W115" s="1">
        <v>8312304</v>
      </c>
      <c r="X115" s="1"/>
      <c r="Y115" s="1">
        <v>2540851</v>
      </c>
      <c r="Z115" s="1">
        <v>1092904</v>
      </c>
      <c r="AA115" s="1">
        <v>0</v>
      </c>
      <c r="AB115" s="1">
        <v>644311</v>
      </c>
      <c r="AC115" s="1"/>
      <c r="AD115" s="1"/>
      <c r="AE115" s="1"/>
      <c r="AF115" s="1">
        <v>644311</v>
      </c>
      <c r="AG115" s="1"/>
      <c r="AH115" s="1">
        <v>374284</v>
      </c>
      <c r="AI115" s="1"/>
      <c r="AJ115" s="1">
        <v>105107</v>
      </c>
      <c r="AK115" s="1">
        <v>269177</v>
      </c>
      <c r="AL115" s="1"/>
      <c r="AM115" s="1">
        <v>1362931</v>
      </c>
      <c r="AN115" s="1">
        <v>0</v>
      </c>
      <c r="AO115" s="1"/>
      <c r="AP115" s="1"/>
      <c r="AQ115" s="1">
        <v>1362931</v>
      </c>
      <c r="AR115" s="1">
        <v>0</v>
      </c>
      <c r="AS115" s="1">
        <v>195759</v>
      </c>
      <c r="AT115" s="1"/>
      <c r="AU115" s="1">
        <v>1167172</v>
      </c>
      <c r="AV115" s="1">
        <v>0</v>
      </c>
    </row>
    <row r="116" spans="1:48" s="3" customFormat="1" ht="12" x14ac:dyDescent="0.2">
      <c r="A116" s="1">
        <v>20025</v>
      </c>
      <c r="B116" s="1">
        <v>0</v>
      </c>
      <c r="C116" s="1">
        <v>201051785</v>
      </c>
      <c r="D116" s="1" t="s">
        <v>144</v>
      </c>
      <c r="E116" s="1">
        <v>26</v>
      </c>
      <c r="F116" s="1">
        <v>1</v>
      </c>
      <c r="G116" s="1">
        <v>0</v>
      </c>
      <c r="H116" s="1">
        <v>1</v>
      </c>
      <c r="I116" s="1">
        <v>2019</v>
      </c>
      <c r="J116" s="1">
        <v>4</v>
      </c>
      <c r="K116" s="1" t="s">
        <v>0</v>
      </c>
      <c r="L116" s="1">
        <v>1</v>
      </c>
      <c r="M116" s="1">
        <v>30</v>
      </c>
      <c r="N116" s="1">
        <v>0</v>
      </c>
      <c r="O116" s="1">
        <v>43871.473946759259</v>
      </c>
      <c r="P116" s="1">
        <v>17415383</v>
      </c>
      <c r="Q116" s="1">
        <v>10952562</v>
      </c>
      <c r="R116" s="1">
        <v>6462821</v>
      </c>
      <c r="S116" s="1">
        <v>0</v>
      </c>
      <c r="T116" s="1">
        <v>7765094</v>
      </c>
      <c r="U116" s="1">
        <v>189627</v>
      </c>
      <c r="V116" s="1">
        <v>1504906</v>
      </c>
      <c r="W116" s="1">
        <v>6070561</v>
      </c>
      <c r="X116" s="1"/>
      <c r="Y116" s="1">
        <v>2464303</v>
      </c>
      <c r="Z116" s="1">
        <v>1162030</v>
      </c>
      <c r="AA116" s="1">
        <v>0</v>
      </c>
      <c r="AB116" s="1">
        <v>487405</v>
      </c>
      <c r="AC116" s="1"/>
      <c r="AD116" s="1"/>
      <c r="AE116" s="1"/>
      <c r="AF116" s="1">
        <v>487405</v>
      </c>
      <c r="AG116" s="1"/>
      <c r="AH116" s="1">
        <v>628057</v>
      </c>
      <c r="AI116" s="1"/>
      <c r="AJ116" s="1">
        <v>472553</v>
      </c>
      <c r="AK116" s="1">
        <v>155504</v>
      </c>
      <c r="AL116" s="1"/>
      <c r="AM116" s="1">
        <v>1021378</v>
      </c>
      <c r="AN116" s="1">
        <v>0</v>
      </c>
      <c r="AO116" s="1"/>
      <c r="AP116" s="1"/>
      <c r="AQ116" s="1">
        <v>1021378</v>
      </c>
      <c r="AR116" s="1">
        <v>0</v>
      </c>
      <c r="AS116" s="1">
        <v>87466</v>
      </c>
      <c r="AT116" s="1"/>
      <c r="AU116" s="1">
        <v>933912</v>
      </c>
      <c r="AV116" s="1">
        <v>0</v>
      </c>
    </row>
    <row r="117" spans="1:48" s="3" customFormat="1" ht="12" x14ac:dyDescent="0.2">
      <c r="A117" s="1">
        <v>20025</v>
      </c>
      <c r="B117" s="1">
        <v>0</v>
      </c>
      <c r="C117" s="7">
        <v>201051785</v>
      </c>
      <c r="D117" s="1" t="s">
        <v>144</v>
      </c>
      <c r="E117" s="1">
        <v>26</v>
      </c>
      <c r="F117" s="1">
        <v>1</v>
      </c>
      <c r="G117" s="1">
        <v>0</v>
      </c>
      <c r="H117" s="1">
        <v>1</v>
      </c>
      <c r="I117" s="1">
        <v>2018</v>
      </c>
      <c r="J117" s="1">
        <v>4</v>
      </c>
      <c r="K117" s="1" t="s">
        <v>0</v>
      </c>
      <c r="L117" s="1">
        <v>1</v>
      </c>
      <c r="M117" s="1">
        <v>30</v>
      </c>
      <c r="N117" s="1">
        <v>0</v>
      </c>
      <c r="O117" s="1">
        <v>43510.548136574071</v>
      </c>
      <c r="P117" s="1">
        <v>15441144</v>
      </c>
      <c r="Q117" s="1">
        <v>10572430</v>
      </c>
      <c r="R117" s="2">
        <v>4868714</v>
      </c>
      <c r="S117" s="2">
        <v>0</v>
      </c>
      <c r="T117" s="1">
        <v>5467817</v>
      </c>
      <c r="U117" s="1">
        <v>104430</v>
      </c>
      <c r="V117" s="1">
        <v>1184143</v>
      </c>
      <c r="W117" s="1">
        <v>4179244</v>
      </c>
      <c r="X117" s="1"/>
      <c r="Y117" s="1">
        <v>1704979</v>
      </c>
      <c r="Z117" s="1">
        <v>1105876</v>
      </c>
      <c r="AA117" s="1">
        <v>0</v>
      </c>
      <c r="AB117" s="1">
        <v>560093</v>
      </c>
      <c r="AC117" s="1">
        <v>1</v>
      </c>
      <c r="AD117" s="1"/>
      <c r="AE117" s="1"/>
      <c r="AF117" s="1">
        <v>560092</v>
      </c>
      <c r="AG117" s="1"/>
      <c r="AH117" s="1">
        <v>574777</v>
      </c>
      <c r="AI117" s="1"/>
      <c r="AJ117" s="1">
        <v>410919</v>
      </c>
      <c r="AK117" s="1">
        <v>163858</v>
      </c>
      <c r="AL117" s="1"/>
      <c r="AM117" s="1">
        <v>1091192</v>
      </c>
      <c r="AN117" s="1">
        <v>0</v>
      </c>
      <c r="AO117" s="1"/>
      <c r="AP117" s="1"/>
      <c r="AQ117" s="1">
        <v>1091192</v>
      </c>
      <c r="AR117" s="1">
        <v>0</v>
      </c>
      <c r="AS117" s="1">
        <v>782096</v>
      </c>
      <c r="AT117" s="1"/>
      <c r="AU117" s="1">
        <v>309096</v>
      </c>
      <c r="AV117" s="1">
        <v>0</v>
      </c>
    </row>
    <row r="118" spans="1:48" s="3" customFormat="1" ht="12" x14ac:dyDescent="0.2">
      <c r="A118" s="1">
        <v>20025</v>
      </c>
      <c r="B118" s="1">
        <v>0</v>
      </c>
      <c r="C118" s="1">
        <v>201108664</v>
      </c>
      <c r="D118" s="1" t="s">
        <v>145</v>
      </c>
      <c r="E118" s="1">
        <v>6</v>
      </c>
      <c r="F118" s="1">
        <v>3</v>
      </c>
      <c r="G118" s="1">
        <v>0</v>
      </c>
      <c r="H118" s="1">
        <v>1</v>
      </c>
      <c r="I118" s="1">
        <v>2021</v>
      </c>
      <c r="J118" s="1">
        <v>4</v>
      </c>
      <c r="K118" s="1" t="s">
        <v>0</v>
      </c>
      <c r="L118" s="1">
        <v>2</v>
      </c>
      <c r="M118" s="1">
        <v>30</v>
      </c>
      <c r="N118" s="1">
        <v>0</v>
      </c>
      <c r="O118" s="1">
        <v>44650.354386574072</v>
      </c>
      <c r="P118" s="1">
        <v>57921727</v>
      </c>
      <c r="Q118" s="1">
        <v>54972775</v>
      </c>
      <c r="R118" s="1">
        <v>2948952</v>
      </c>
      <c r="S118" s="1">
        <v>0</v>
      </c>
      <c r="T118" s="1">
        <v>6683573</v>
      </c>
      <c r="U118" s="1">
        <v>21441</v>
      </c>
      <c r="V118" s="1">
        <v>1999595</v>
      </c>
      <c r="W118" s="1">
        <v>4662537</v>
      </c>
      <c r="X118" s="1"/>
      <c r="Y118" s="1">
        <v>4190966</v>
      </c>
      <c r="Z118" s="1">
        <v>456345</v>
      </c>
      <c r="AA118" s="1">
        <v>0</v>
      </c>
      <c r="AB118" s="1">
        <v>51838</v>
      </c>
      <c r="AC118" s="1"/>
      <c r="AD118" s="1">
        <v>51838</v>
      </c>
      <c r="AE118" s="1"/>
      <c r="AF118" s="1"/>
      <c r="AG118" s="1"/>
      <c r="AH118" s="1">
        <v>18190</v>
      </c>
      <c r="AI118" s="1">
        <v>18190</v>
      </c>
      <c r="AJ118" s="1"/>
      <c r="AK118" s="1"/>
      <c r="AL118" s="1"/>
      <c r="AM118" s="1">
        <v>489993</v>
      </c>
      <c r="AN118" s="1">
        <v>0</v>
      </c>
      <c r="AO118" s="1"/>
      <c r="AP118" s="1"/>
      <c r="AQ118" s="1">
        <v>489993</v>
      </c>
      <c r="AR118" s="1">
        <v>0</v>
      </c>
      <c r="AS118" s="1">
        <v>409900</v>
      </c>
      <c r="AT118" s="1"/>
      <c r="AU118" s="1">
        <v>80093</v>
      </c>
      <c r="AV118" s="1">
        <v>0</v>
      </c>
    </row>
    <row r="119" spans="1:48" s="3" customFormat="1" ht="12" x14ac:dyDescent="0.2">
      <c r="A119" s="1">
        <v>20025</v>
      </c>
      <c r="B119" s="1">
        <v>0</v>
      </c>
      <c r="C119" s="1">
        <v>201108664</v>
      </c>
      <c r="D119" s="1" t="s">
        <v>145</v>
      </c>
      <c r="E119" s="1">
        <v>6</v>
      </c>
      <c r="F119" s="1">
        <v>3</v>
      </c>
      <c r="G119" s="1">
        <v>0</v>
      </c>
      <c r="H119" s="1">
        <v>1</v>
      </c>
      <c r="I119" s="1">
        <v>2020</v>
      </c>
      <c r="J119" s="1">
        <v>4</v>
      </c>
      <c r="K119" s="1" t="s">
        <v>0</v>
      </c>
      <c r="L119" s="1">
        <v>1</v>
      </c>
      <c r="M119" s="1">
        <v>30</v>
      </c>
      <c r="N119" s="1">
        <v>0</v>
      </c>
      <c r="O119" s="1">
        <v>44241.135231481479</v>
      </c>
      <c r="P119" s="1">
        <v>80325941</v>
      </c>
      <c r="Q119" s="1">
        <v>70773097</v>
      </c>
      <c r="R119" s="1">
        <v>9552844</v>
      </c>
      <c r="S119" s="1">
        <v>0</v>
      </c>
      <c r="T119" s="1">
        <v>7351698</v>
      </c>
      <c r="U119" s="1">
        <v>22385</v>
      </c>
      <c r="V119" s="1">
        <v>2730168</v>
      </c>
      <c r="W119" s="1">
        <v>4599145</v>
      </c>
      <c r="X119" s="1"/>
      <c r="Y119" s="1">
        <v>748515</v>
      </c>
      <c r="Z119" s="1">
        <v>2949661</v>
      </c>
      <c r="AA119" s="1">
        <v>0</v>
      </c>
      <c r="AB119" s="1">
        <v>11873</v>
      </c>
      <c r="AC119" s="1">
        <v>136</v>
      </c>
      <c r="AD119" s="1">
        <v>11737</v>
      </c>
      <c r="AE119" s="1"/>
      <c r="AF119" s="1"/>
      <c r="AG119" s="1"/>
      <c r="AH119" s="1">
        <v>76356</v>
      </c>
      <c r="AI119" s="1">
        <v>76356</v>
      </c>
      <c r="AJ119" s="1"/>
      <c r="AK119" s="1"/>
      <c r="AL119" s="1"/>
      <c r="AM119" s="1">
        <v>2885178</v>
      </c>
      <c r="AN119" s="1">
        <v>0</v>
      </c>
      <c r="AO119" s="1"/>
      <c r="AP119" s="1"/>
      <c r="AQ119" s="1">
        <v>2885178</v>
      </c>
      <c r="AR119" s="1">
        <v>0</v>
      </c>
      <c r="AS119" s="1">
        <v>536013</v>
      </c>
      <c r="AT119" s="1"/>
      <c r="AU119" s="1">
        <v>2349165</v>
      </c>
      <c r="AV119" s="1">
        <v>0</v>
      </c>
    </row>
    <row r="120" spans="1:48" s="3" customFormat="1" ht="12" x14ac:dyDescent="0.2">
      <c r="A120" s="1">
        <v>20025</v>
      </c>
      <c r="B120" s="1">
        <v>0</v>
      </c>
      <c r="C120" s="1">
        <v>201108664</v>
      </c>
      <c r="D120" s="1" t="s">
        <v>145</v>
      </c>
      <c r="E120" s="1">
        <v>6</v>
      </c>
      <c r="F120" s="1">
        <v>3</v>
      </c>
      <c r="G120" s="1">
        <v>0</v>
      </c>
      <c r="H120" s="1">
        <v>1</v>
      </c>
      <c r="I120" s="1">
        <v>2019</v>
      </c>
      <c r="J120" s="1">
        <v>4</v>
      </c>
      <c r="K120" s="1" t="s">
        <v>0</v>
      </c>
      <c r="L120" s="1">
        <v>1</v>
      </c>
      <c r="M120" s="1">
        <v>30</v>
      </c>
      <c r="N120" s="1">
        <v>0</v>
      </c>
      <c r="O120" s="1">
        <v>43874.827534722222</v>
      </c>
      <c r="P120" s="1">
        <v>47353170</v>
      </c>
      <c r="Q120" s="1">
        <v>38907680</v>
      </c>
      <c r="R120" s="1">
        <v>8445490</v>
      </c>
      <c r="S120" s="1">
        <v>0</v>
      </c>
      <c r="T120" s="1">
        <v>3923938</v>
      </c>
      <c r="U120" s="1">
        <v>18811</v>
      </c>
      <c r="V120" s="1">
        <v>1623919</v>
      </c>
      <c r="W120" s="1">
        <v>2281208</v>
      </c>
      <c r="X120" s="1"/>
      <c r="Y120" s="1">
        <v>42133</v>
      </c>
      <c r="Z120" s="1">
        <v>4563685</v>
      </c>
      <c r="AA120" s="1">
        <v>0</v>
      </c>
      <c r="AB120" s="1">
        <v>963</v>
      </c>
      <c r="AC120" s="1">
        <v>963</v>
      </c>
      <c r="AD120" s="1"/>
      <c r="AE120" s="1"/>
      <c r="AF120" s="1"/>
      <c r="AG120" s="1"/>
      <c r="AH120" s="1">
        <v>75105</v>
      </c>
      <c r="AI120" s="1">
        <v>75105</v>
      </c>
      <c r="AJ120" s="1"/>
      <c r="AK120" s="1"/>
      <c r="AL120" s="1"/>
      <c r="AM120" s="1">
        <v>4489543</v>
      </c>
      <c r="AN120" s="1">
        <v>0</v>
      </c>
      <c r="AO120" s="1"/>
      <c r="AP120" s="1"/>
      <c r="AQ120" s="1">
        <v>4489543</v>
      </c>
      <c r="AR120" s="1">
        <v>0</v>
      </c>
      <c r="AS120" s="1">
        <v>564810</v>
      </c>
      <c r="AT120" s="1"/>
      <c r="AU120" s="1">
        <v>3924733</v>
      </c>
      <c r="AV120" s="1">
        <v>0</v>
      </c>
    </row>
    <row r="121" spans="1:48" s="3" customFormat="1" ht="12" x14ac:dyDescent="0.2">
      <c r="A121" s="1">
        <v>20025</v>
      </c>
      <c r="B121" s="1">
        <v>0</v>
      </c>
      <c r="C121" s="7">
        <v>201108664</v>
      </c>
      <c r="D121" s="1" t="s">
        <v>145</v>
      </c>
      <c r="E121" s="1">
        <v>6</v>
      </c>
      <c r="F121" s="1">
        <v>3</v>
      </c>
      <c r="G121" s="1">
        <v>0</v>
      </c>
      <c r="H121" s="1">
        <v>1</v>
      </c>
      <c r="I121" s="1">
        <v>2018</v>
      </c>
      <c r="J121" s="1">
        <v>4</v>
      </c>
      <c r="K121" s="1" t="s">
        <v>0</v>
      </c>
      <c r="L121" s="1">
        <v>1</v>
      </c>
      <c r="M121" s="1">
        <v>30</v>
      </c>
      <c r="N121" s="1">
        <v>0</v>
      </c>
      <c r="O121" s="1">
        <v>43510.662673611114</v>
      </c>
      <c r="P121" s="1">
        <v>41051020</v>
      </c>
      <c r="Q121" s="1">
        <v>36623486</v>
      </c>
      <c r="R121" s="2">
        <v>4427534</v>
      </c>
      <c r="S121" s="2">
        <v>0</v>
      </c>
      <c r="T121" s="1">
        <v>4213900</v>
      </c>
      <c r="U121" s="1">
        <v>25</v>
      </c>
      <c r="V121" s="1">
        <v>909526</v>
      </c>
      <c r="W121" s="1">
        <v>3304349</v>
      </c>
      <c r="X121" s="1"/>
      <c r="Y121" s="1">
        <v>538641</v>
      </c>
      <c r="Z121" s="1">
        <v>752275</v>
      </c>
      <c r="AA121" s="1">
        <v>0</v>
      </c>
      <c r="AB121" s="1">
        <v>522</v>
      </c>
      <c r="AC121" s="1">
        <v>522</v>
      </c>
      <c r="AD121" s="1"/>
      <c r="AE121" s="1"/>
      <c r="AF121" s="1"/>
      <c r="AG121" s="1"/>
      <c r="AH121" s="1">
        <v>149103</v>
      </c>
      <c r="AI121" s="1">
        <v>149103</v>
      </c>
      <c r="AJ121" s="1"/>
      <c r="AK121" s="1"/>
      <c r="AL121" s="1"/>
      <c r="AM121" s="1">
        <v>603694</v>
      </c>
      <c r="AN121" s="1">
        <v>0</v>
      </c>
      <c r="AO121" s="1"/>
      <c r="AP121" s="1"/>
      <c r="AQ121" s="1">
        <v>603694</v>
      </c>
      <c r="AR121" s="1">
        <v>0</v>
      </c>
      <c r="AS121" s="1">
        <v>196420</v>
      </c>
      <c r="AT121" s="1"/>
      <c r="AU121" s="1">
        <v>407274</v>
      </c>
      <c r="AV121" s="1">
        <v>0</v>
      </c>
    </row>
    <row r="122" spans="1:48" s="3" customFormat="1" ht="12" x14ac:dyDescent="0.2">
      <c r="A122" s="1">
        <v>20025</v>
      </c>
      <c r="B122" s="1">
        <v>0</v>
      </c>
      <c r="C122" s="1">
        <v>201198744</v>
      </c>
      <c r="D122" s="1" t="s">
        <v>146</v>
      </c>
      <c r="E122" s="1">
        <v>26</v>
      </c>
      <c r="F122" s="1">
        <v>8</v>
      </c>
      <c r="G122" s="1">
        <v>0</v>
      </c>
      <c r="H122" s="1">
        <v>1</v>
      </c>
      <c r="I122" s="1">
        <v>2021</v>
      </c>
      <c r="J122" s="1">
        <v>4</v>
      </c>
      <c r="K122" s="1" t="s">
        <v>0</v>
      </c>
      <c r="L122" s="1">
        <v>1</v>
      </c>
      <c r="M122" s="1">
        <v>30</v>
      </c>
      <c r="N122" s="1">
        <v>0</v>
      </c>
      <c r="O122" s="1">
        <v>44603.750173611108</v>
      </c>
      <c r="P122" s="1">
        <v>16524753</v>
      </c>
      <c r="Q122" s="1">
        <v>19764003</v>
      </c>
      <c r="R122" s="1">
        <v>0</v>
      </c>
      <c r="S122" s="1">
        <v>3239250</v>
      </c>
      <c r="T122" s="1">
        <v>9447866</v>
      </c>
      <c r="U122" s="1">
        <v>301046</v>
      </c>
      <c r="V122" s="1">
        <v>8305508</v>
      </c>
      <c r="W122" s="1">
        <v>841312</v>
      </c>
      <c r="X122" s="1"/>
      <c r="Y122" s="1">
        <v>101139</v>
      </c>
      <c r="Z122" s="1">
        <v>0</v>
      </c>
      <c r="AA122" s="1">
        <v>12585977</v>
      </c>
      <c r="AB122" s="1">
        <v>13302716</v>
      </c>
      <c r="AC122" s="1"/>
      <c r="AD122" s="1"/>
      <c r="AE122" s="1"/>
      <c r="AF122" s="1">
        <v>269</v>
      </c>
      <c r="AG122" s="1">
        <v>13302447</v>
      </c>
      <c r="AH122" s="1">
        <v>522</v>
      </c>
      <c r="AI122" s="1"/>
      <c r="AJ122" s="1"/>
      <c r="AK122" s="1">
        <v>522</v>
      </c>
      <c r="AL122" s="1"/>
      <c r="AM122" s="1">
        <v>716217</v>
      </c>
      <c r="AN122" s="1">
        <v>0</v>
      </c>
      <c r="AO122" s="1"/>
      <c r="AP122" s="1"/>
      <c r="AQ122" s="1">
        <v>716217</v>
      </c>
      <c r="AR122" s="1">
        <v>0</v>
      </c>
      <c r="AS122" s="1">
        <v>186172</v>
      </c>
      <c r="AT122" s="1"/>
      <c r="AU122" s="1">
        <v>530045</v>
      </c>
      <c r="AV122" s="1">
        <v>0</v>
      </c>
    </row>
    <row r="123" spans="1:48" s="3" customFormat="1" ht="12" x14ac:dyDescent="0.2">
      <c r="A123" s="1">
        <v>20025</v>
      </c>
      <c r="B123" s="1">
        <v>0</v>
      </c>
      <c r="C123" s="1">
        <v>201198744</v>
      </c>
      <c r="D123" s="1" t="s">
        <v>146</v>
      </c>
      <c r="E123" s="1">
        <v>26</v>
      </c>
      <c r="F123" s="1">
        <v>8</v>
      </c>
      <c r="G123" s="1">
        <v>0</v>
      </c>
      <c r="H123" s="1">
        <v>1</v>
      </c>
      <c r="I123" s="1">
        <v>2020</v>
      </c>
      <c r="J123" s="1">
        <v>4</v>
      </c>
      <c r="K123" s="1" t="s">
        <v>0</v>
      </c>
      <c r="L123" s="1">
        <v>2</v>
      </c>
      <c r="M123" s="1">
        <v>30</v>
      </c>
      <c r="N123" s="1">
        <v>0</v>
      </c>
      <c r="O123" s="1">
        <v>44342.596400462964</v>
      </c>
      <c r="P123" s="1">
        <v>4547409</v>
      </c>
      <c r="Q123" s="1">
        <v>3904478</v>
      </c>
      <c r="R123" s="1">
        <v>642931</v>
      </c>
      <c r="S123" s="1">
        <v>0</v>
      </c>
      <c r="T123" s="1">
        <v>6205325</v>
      </c>
      <c r="U123" s="1">
        <v>112394</v>
      </c>
      <c r="V123" s="1">
        <v>5505324</v>
      </c>
      <c r="W123" s="1">
        <v>587607</v>
      </c>
      <c r="X123" s="1"/>
      <c r="Y123" s="1">
        <v>2499</v>
      </c>
      <c r="Z123" s="1">
        <v>0</v>
      </c>
      <c r="AA123" s="1">
        <v>5559895</v>
      </c>
      <c r="AB123" s="1">
        <v>4508934</v>
      </c>
      <c r="AC123" s="1">
        <v>13417</v>
      </c>
      <c r="AD123" s="1">
        <v>6950</v>
      </c>
      <c r="AE123" s="1"/>
      <c r="AF123" s="1">
        <v>64993</v>
      </c>
      <c r="AG123" s="1">
        <v>4423574</v>
      </c>
      <c r="AH123" s="1">
        <v>16466</v>
      </c>
      <c r="AI123" s="1"/>
      <c r="AJ123" s="1"/>
      <c r="AK123" s="1">
        <v>16466</v>
      </c>
      <c r="AL123" s="1"/>
      <c r="AM123" s="1">
        <v>0</v>
      </c>
      <c r="AN123" s="1">
        <v>1067427</v>
      </c>
      <c r="AO123" s="1"/>
      <c r="AP123" s="1"/>
      <c r="AQ123" s="1">
        <v>0</v>
      </c>
      <c r="AR123" s="1">
        <v>1067427</v>
      </c>
      <c r="AS123" s="1"/>
      <c r="AT123" s="1"/>
      <c r="AU123" s="1">
        <v>-1067427</v>
      </c>
      <c r="AV123" s="1">
        <v>1067427</v>
      </c>
    </row>
    <row r="124" spans="1:48" s="3" customFormat="1" ht="12" x14ac:dyDescent="0.2">
      <c r="A124" s="1">
        <v>20025</v>
      </c>
      <c r="B124" s="1">
        <v>0</v>
      </c>
      <c r="C124" s="1">
        <v>201198744</v>
      </c>
      <c r="D124" s="1" t="s">
        <v>146</v>
      </c>
      <c r="E124" s="1">
        <v>26</v>
      </c>
      <c r="F124" s="1">
        <v>8</v>
      </c>
      <c r="G124" s="1">
        <v>0</v>
      </c>
      <c r="H124" s="1">
        <v>1</v>
      </c>
      <c r="I124" s="1">
        <v>2019</v>
      </c>
      <c r="J124" s="1">
        <v>4</v>
      </c>
      <c r="K124" s="1" t="s">
        <v>0</v>
      </c>
      <c r="L124" s="1">
        <v>1</v>
      </c>
      <c r="M124" s="1">
        <v>30</v>
      </c>
      <c r="N124" s="1">
        <v>0</v>
      </c>
      <c r="O124" s="1">
        <v>43875.611087962963</v>
      </c>
      <c r="P124" s="1">
        <v>26887084</v>
      </c>
      <c r="Q124" s="1">
        <v>21407093</v>
      </c>
      <c r="R124" s="1">
        <v>5479991</v>
      </c>
      <c r="S124" s="1">
        <v>0</v>
      </c>
      <c r="T124" s="1">
        <v>7956467</v>
      </c>
      <c r="U124" s="1">
        <v>3147296</v>
      </c>
      <c r="V124" s="1">
        <v>3385916</v>
      </c>
      <c r="W124" s="1">
        <v>1423255</v>
      </c>
      <c r="X124" s="1"/>
      <c r="Y124" s="1">
        <v>270332</v>
      </c>
      <c r="Z124" s="1">
        <v>0</v>
      </c>
      <c r="AA124" s="1">
        <v>2206144</v>
      </c>
      <c r="AB124" s="1">
        <v>2438927</v>
      </c>
      <c r="AC124" s="1">
        <v>33438</v>
      </c>
      <c r="AD124" s="1">
        <v>883</v>
      </c>
      <c r="AE124" s="1"/>
      <c r="AF124" s="1">
        <v>2404606</v>
      </c>
      <c r="AG124" s="1"/>
      <c r="AH124" s="1">
        <v>173364</v>
      </c>
      <c r="AI124" s="1"/>
      <c r="AJ124" s="1"/>
      <c r="AK124" s="1">
        <v>173364</v>
      </c>
      <c r="AL124" s="1"/>
      <c r="AM124" s="1">
        <v>59419</v>
      </c>
      <c r="AN124" s="1">
        <v>0</v>
      </c>
      <c r="AO124" s="1"/>
      <c r="AP124" s="1"/>
      <c r="AQ124" s="1">
        <v>59419</v>
      </c>
      <c r="AR124" s="1">
        <v>0</v>
      </c>
      <c r="AS124" s="1">
        <v>46301</v>
      </c>
      <c r="AT124" s="1">
        <v>617</v>
      </c>
      <c r="AU124" s="1">
        <v>12501</v>
      </c>
      <c r="AV124" s="1">
        <v>0</v>
      </c>
    </row>
    <row r="125" spans="1:48" s="3" customFormat="1" ht="12" x14ac:dyDescent="0.2">
      <c r="A125" s="1">
        <v>20025</v>
      </c>
      <c r="B125" s="1">
        <v>0</v>
      </c>
      <c r="C125" s="7">
        <v>201198744</v>
      </c>
      <c r="D125" s="1" t="s">
        <v>146</v>
      </c>
      <c r="E125" s="1">
        <v>26</v>
      </c>
      <c r="F125" s="1">
        <v>8</v>
      </c>
      <c r="G125" s="1">
        <v>0</v>
      </c>
      <c r="H125" s="1">
        <v>1</v>
      </c>
      <c r="I125" s="1">
        <v>2018</v>
      </c>
      <c r="J125" s="1">
        <v>4</v>
      </c>
      <c r="K125" s="1" t="s">
        <v>0</v>
      </c>
      <c r="L125" s="1">
        <v>2</v>
      </c>
      <c r="M125" s="1">
        <v>30</v>
      </c>
      <c r="N125" s="1">
        <v>0</v>
      </c>
      <c r="O125" s="1">
        <v>43598.564895833333</v>
      </c>
      <c r="P125" s="1">
        <v>38907428</v>
      </c>
      <c r="Q125" s="1">
        <v>25886489</v>
      </c>
      <c r="R125" s="2">
        <v>13020939</v>
      </c>
      <c r="S125" s="2">
        <v>0</v>
      </c>
      <c r="T125" s="1">
        <v>2936777</v>
      </c>
      <c r="U125" s="1">
        <v>588914</v>
      </c>
      <c r="V125" s="1">
        <v>1196324</v>
      </c>
      <c r="W125" s="1">
        <v>1151539</v>
      </c>
      <c r="X125" s="1"/>
      <c r="Y125" s="1">
        <v>93072</v>
      </c>
      <c r="Z125" s="1">
        <v>10177234</v>
      </c>
      <c r="AA125" s="1">
        <v>0</v>
      </c>
      <c r="AB125" s="1">
        <v>136775</v>
      </c>
      <c r="AC125" s="1">
        <v>33339</v>
      </c>
      <c r="AD125" s="1"/>
      <c r="AE125" s="1"/>
      <c r="AF125" s="1">
        <v>103436</v>
      </c>
      <c r="AG125" s="1"/>
      <c r="AH125" s="1">
        <v>1430899</v>
      </c>
      <c r="AI125" s="1"/>
      <c r="AJ125" s="1"/>
      <c r="AK125" s="1">
        <v>1430899</v>
      </c>
      <c r="AL125" s="1"/>
      <c r="AM125" s="1">
        <v>8883110</v>
      </c>
      <c r="AN125" s="1">
        <v>0</v>
      </c>
      <c r="AO125" s="1"/>
      <c r="AP125" s="1"/>
      <c r="AQ125" s="1">
        <v>8883110</v>
      </c>
      <c r="AR125" s="1">
        <v>0</v>
      </c>
      <c r="AS125" s="1"/>
      <c r="AT125" s="1">
        <v>1957066</v>
      </c>
      <c r="AU125" s="1">
        <v>6926044</v>
      </c>
      <c r="AV125" s="1">
        <v>0</v>
      </c>
    </row>
    <row r="126" spans="1:48" s="3" customFormat="1" ht="12" x14ac:dyDescent="0.2">
      <c r="A126" s="1">
        <v>20025</v>
      </c>
      <c r="B126" s="1">
        <v>0</v>
      </c>
      <c r="C126" s="1">
        <v>201328304</v>
      </c>
      <c r="D126" s="1" t="s">
        <v>147</v>
      </c>
      <c r="E126" s="1">
        <v>18</v>
      </c>
      <c r="F126" s="1">
        <v>1</v>
      </c>
      <c r="G126" s="1">
        <v>0</v>
      </c>
      <c r="H126" s="1">
        <v>1</v>
      </c>
      <c r="I126" s="1">
        <v>2021</v>
      </c>
      <c r="J126" s="1">
        <v>4</v>
      </c>
      <c r="K126" s="1" t="s">
        <v>0</v>
      </c>
      <c r="L126" s="1">
        <v>1</v>
      </c>
      <c r="M126" s="1">
        <v>30</v>
      </c>
      <c r="N126" s="1">
        <v>0</v>
      </c>
      <c r="O126" s="1">
        <v>44607.742476851854</v>
      </c>
      <c r="P126" s="1">
        <v>177036605</v>
      </c>
      <c r="Q126" s="1">
        <v>148896084</v>
      </c>
      <c r="R126" s="1">
        <v>28140521</v>
      </c>
      <c r="S126" s="1">
        <v>0</v>
      </c>
      <c r="T126" s="1">
        <v>25462266</v>
      </c>
      <c r="U126" s="1">
        <v>1566139</v>
      </c>
      <c r="V126" s="1">
        <v>6292112</v>
      </c>
      <c r="W126" s="1">
        <v>17604015</v>
      </c>
      <c r="X126" s="1"/>
      <c r="Y126" s="1">
        <v>2447345</v>
      </c>
      <c r="Z126" s="1">
        <v>5125600</v>
      </c>
      <c r="AA126" s="1">
        <v>0</v>
      </c>
      <c r="AB126" s="1"/>
      <c r="AC126" s="1"/>
      <c r="AD126" s="1"/>
      <c r="AE126" s="1"/>
      <c r="AF126" s="1"/>
      <c r="AG126" s="1"/>
      <c r="AH126" s="1">
        <v>967724</v>
      </c>
      <c r="AI126" s="1">
        <v>844753</v>
      </c>
      <c r="AJ126" s="1"/>
      <c r="AK126" s="1">
        <v>122971</v>
      </c>
      <c r="AL126" s="1"/>
      <c r="AM126" s="1">
        <v>4157876</v>
      </c>
      <c r="AN126" s="1">
        <v>0</v>
      </c>
      <c r="AO126" s="1"/>
      <c r="AP126" s="1"/>
      <c r="AQ126" s="1">
        <v>4157876</v>
      </c>
      <c r="AR126" s="1">
        <v>0</v>
      </c>
      <c r="AS126" s="1">
        <v>622880</v>
      </c>
      <c r="AT126" s="1">
        <v>1533852</v>
      </c>
      <c r="AU126" s="1">
        <v>2001144</v>
      </c>
      <c r="AV126" s="1">
        <v>0</v>
      </c>
    </row>
    <row r="127" spans="1:48" s="3" customFormat="1" ht="12" x14ac:dyDescent="0.2">
      <c r="A127" s="1">
        <v>20025</v>
      </c>
      <c r="B127" s="1">
        <v>0</v>
      </c>
      <c r="C127" s="1">
        <v>201328304</v>
      </c>
      <c r="D127" s="1" t="s">
        <v>147</v>
      </c>
      <c r="E127" s="1">
        <v>18</v>
      </c>
      <c r="F127" s="1">
        <v>1</v>
      </c>
      <c r="G127" s="1">
        <v>0</v>
      </c>
      <c r="H127" s="1">
        <v>1</v>
      </c>
      <c r="I127" s="1">
        <v>2020</v>
      </c>
      <c r="J127" s="1">
        <v>4</v>
      </c>
      <c r="K127" s="1" t="s">
        <v>0</v>
      </c>
      <c r="L127" s="1">
        <v>1</v>
      </c>
      <c r="M127" s="1">
        <v>30</v>
      </c>
      <c r="N127" s="1">
        <v>0</v>
      </c>
      <c r="O127" s="1">
        <v>44242.630729166667</v>
      </c>
      <c r="P127" s="1">
        <v>206429979</v>
      </c>
      <c r="Q127" s="1">
        <v>173825901</v>
      </c>
      <c r="R127" s="1">
        <v>32604078</v>
      </c>
      <c r="S127" s="1">
        <v>0</v>
      </c>
      <c r="T127" s="1">
        <v>24598929</v>
      </c>
      <c r="U127" s="1">
        <v>1463988</v>
      </c>
      <c r="V127" s="1">
        <v>7061564</v>
      </c>
      <c r="W127" s="1">
        <v>16073377</v>
      </c>
      <c r="X127" s="1"/>
      <c r="Y127" s="1">
        <v>1495446</v>
      </c>
      <c r="Z127" s="1">
        <v>9500595</v>
      </c>
      <c r="AA127" s="1">
        <v>0</v>
      </c>
      <c r="AB127" s="1"/>
      <c r="AC127" s="1"/>
      <c r="AD127" s="1"/>
      <c r="AE127" s="1"/>
      <c r="AF127" s="1"/>
      <c r="AG127" s="1"/>
      <c r="AH127" s="1">
        <v>1472423</v>
      </c>
      <c r="AI127" s="1">
        <v>1459816</v>
      </c>
      <c r="AJ127" s="1"/>
      <c r="AK127" s="1">
        <v>12607</v>
      </c>
      <c r="AL127" s="1"/>
      <c r="AM127" s="1">
        <v>8028172</v>
      </c>
      <c r="AN127" s="1">
        <v>0</v>
      </c>
      <c r="AO127" s="1"/>
      <c r="AP127" s="1"/>
      <c r="AQ127" s="1">
        <v>8028172</v>
      </c>
      <c r="AR127" s="1">
        <v>0</v>
      </c>
      <c r="AS127" s="1">
        <v>1801668</v>
      </c>
      <c r="AT127" s="1"/>
      <c r="AU127" s="1">
        <v>6226504</v>
      </c>
      <c r="AV127" s="1">
        <v>0</v>
      </c>
    </row>
    <row r="128" spans="1:48" s="3" customFormat="1" ht="12" x14ac:dyDescent="0.2">
      <c r="A128" s="1">
        <v>20025</v>
      </c>
      <c r="B128" s="1">
        <v>0</v>
      </c>
      <c r="C128" s="1">
        <v>201328304</v>
      </c>
      <c r="D128" s="1" t="s">
        <v>147</v>
      </c>
      <c r="E128" s="1">
        <v>18</v>
      </c>
      <c r="F128" s="1">
        <v>1</v>
      </c>
      <c r="G128" s="1">
        <v>0</v>
      </c>
      <c r="H128" s="1">
        <v>1</v>
      </c>
      <c r="I128" s="1">
        <v>2019</v>
      </c>
      <c r="J128" s="1">
        <v>4</v>
      </c>
      <c r="K128" s="1" t="s">
        <v>0</v>
      </c>
      <c r="L128" s="1">
        <v>1</v>
      </c>
      <c r="M128" s="1">
        <v>30</v>
      </c>
      <c r="N128" s="1">
        <v>0</v>
      </c>
      <c r="O128" s="1">
        <v>43878.696342592593</v>
      </c>
      <c r="P128" s="1">
        <v>169748893</v>
      </c>
      <c r="Q128" s="1">
        <v>140610346</v>
      </c>
      <c r="R128" s="1">
        <v>29138547</v>
      </c>
      <c r="S128" s="1">
        <v>0</v>
      </c>
      <c r="T128" s="1">
        <v>13579235</v>
      </c>
      <c r="U128" s="1">
        <v>1721934</v>
      </c>
      <c r="V128" s="1">
        <v>4016828</v>
      </c>
      <c r="W128" s="1">
        <v>7840473</v>
      </c>
      <c r="X128" s="1"/>
      <c r="Y128" s="1">
        <v>770862</v>
      </c>
      <c r="Z128" s="1">
        <v>16330174</v>
      </c>
      <c r="AA128" s="1">
        <v>0</v>
      </c>
      <c r="AB128" s="1">
        <v>2351</v>
      </c>
      <c r="AC128" s="1"/>
      <c r="AD128" s="1">
        <v>2351</v>
      </c>
      <c r="AE128" s="1"/>
      <c r="AF128" s="1"/>
      <c r="AG128" s="1"/>
      <c r="AH128" s="1">
        <v>2384715</v>
      </c>
      <c r="AI128" s="1">
        <v>2384715</v>
      </c>
      <c r="AJ128" s="1"/>
      <c r="AK128" s="1"/>
      <c r="AL128" s="1"/>
      <c r="AM128" s="1">
        <v>13947810</v>
      </c>
      <c r="AN128" s="1">
        <v>0</v>
      </c>
      <c r="AO128" s="1"/>
      <c r="AP128" s="1"/>
      <c r="AQ128" s="1">
        <v>13947810</v>
      </c>
      <c r="AR128" s="1">
        <v>0</v>
      </c>
      <c r="AS128" s="1">
        <v>1986102</v>
      </c>
      <c r="AT128" s="1"/>
      <c r="AU128" s="1">
        <v>11961708</v>
      </c>
      <c r="AV128" s="1">
        <v>0</v>
      </c>
    </row>
    <row r="129" spans="1:48" s="3" customFormat="1" ht="12" x14ac:dyDescent="0.2">
      <c r="A129" s="1">
        <v>20025</v>
      </c>
      <c r="B129" s="1">
        <v>0</v>
      </c>
      <c r="C129" s="7">
        <v>201328304</v>
      </c>
      <c r="D129" s="1" t="s">
        <v>147</v>
      </c>
      <c r="E129" s="1">
        <v>18</v>
      </c>
      <c r="F129" s="1">
        <v>1</v>
      </c>
      <c r="G129" s="1">
        <v>0</v>
      </c>
      <c r="H129" s="1">
        <v>1</v>
      </c>
      <c r="I129" s="1">
        <v>2018</v>
      </c>
      <c r="J129" s="1">
        <v>4</v>
      </c>
      <c r="K129" s="1" t="s">
        <v>0</v>
      </c>
      <c r="L129" s="1">
        <v>2</v>
      </c>
      <c r="M129" s="1">
        <v>30</v>
      </c>
      <c r="N129" s="1">
        <v>0</v>
      </c>
      <c r="O129" s="1">
        <v>43567.42732638889</v>
      </c>
      <c r="P129" s="1">
        <v>94608378</v>
      </c>
      <c r="Q129" s="1">
        <v>77899473</v>
      </c>
      <c r="R129" s="2">
        <v>16708905</v>
      </c>
      <c r="S129" s="2">
        <v>0</v>
      </c>
      <c r="T129" s="1">
        <v>9727108</v>
      </c>
      <c r="U129" s="1">
        <v>907184</v>
      </c>
      <c r="V129" s="1">
        <v>2627245</v>
      </c>
      <c r="W129" s="1">
        <v>6192679</v>
      </c>
      <c r="X129" s="1"/>
      <c r="Y129" s="1">
        <v>168042</v>
      </c>
      <c r="Z129" s="1">
        <v>7149839</v>
      </c>
      <c r="AA129" s="1">
        <v>0</v>
      </c>
      <c r="AB129" s="1">
        <v>1920</v>
      </c>
      <c r="AC129" s="1">
        <v>1920</v>
      </c>
      <c r="AD129" s="1"/>
      <c r="AE129" s="1"/>
      <c r="AF129" s="1"/>
      <c r="AG129" s="1"/>
      <c r="AH129" s="1">
        <v>2538887</v>
      </c>
      <c r="AI129" s="1">
        <v>2469887</v>
      </c>
      <c r="AJ129" s="1"/>
      <c r="AK129" s="1">
        <v>69000</v>
      </c>
      <c r="AL129" s="1"/>
      <c r="AM129" s="1">
        <v>4612872</v>
      </c>
      <c r="AN129" s="1">
        <v>0</v>
      </c>
      <c r="AO129" s="1"/>
      <c r="AP129" s="1"/>
      <c r="AQ129" s="1">
        <v>4612872</v>
      </c>
      <c r="AR129" s="1">
        <v>0</v>
      </c>
      <c r="AS129" s="1">
        <v>430649</v>
      </c>
      <c r="AT129" s="1"/>
      <c r="AU129" s="1">
        <v>4182223</v>
      </c>
      <c r="AV129" s="1">
        <v>0</v>
      </c>
    </row>
    <row r="130" spans="1:48" s="3" customFormat="1" ht="12" x14ac:dyDescent="0.2">
      <c r="A130" s="1">
        <v>20025</v>
      </c>
      <c r="B130" s="1">
        <v>0</v>
      </c>
      <c r="C130" s="1">
        <v>201429036</v>
      </c>
      <c r="D130" s="1" t="s">
        <v>148</v>
      </c>
      <c r="E130" s="1">
        <v>6</v>
      </c>
      <c r="F130" s="1">
        <v>1</v>
      </c>
      <c r="G130" s="1">
        <v>0</v>
      </c>
      <c r="H130" s="1">
        <v>1</v>
      </c>
      <c r="I130" s="1">
        <v>2021</v>
      </c>
      <c r="J130" s="1">
        <v>4</v>
      </c>
      <c r="K130" s="1" t="s">
        <v>0</v>
      </c>
      <c r="L130" s="1">
        <v>1</v>
      </c>
      <c r="M130" s="1">
        <v>30</v>
      </c>
      <c r="N130" s="1">
        <v>0</v>
      </c>
      <c r="O130" s="1">
        <v>44606.66679398148</v>
      </c>
      <c r="P130" s="1">
        <v>55547698</v>
      </c>
      <c r="Q130" s="1">
        <v>48017834</v>
      </c>
      <c r="R130" s="1">
        <v>7529864</v>
      </c>
      <c r="S130" s="1">
        <v>0</v>
      </c>
      <c r="T130" s="1">
        <v>4162179</v>
      </c>
      <c r="U130" s="1"/>
      <c r="V130" s="1">
        <v>882978</v>
      </c>
      <c r="W130" s="1">
        <v>3279201</v>
      </c>
      <c r="X130" s="1"/>
      <c r="Y130" s="1">
        <v>1225539</v>
      </c>
      <c r="Z130" s="1">
        <v>4593224</v>
      </c>
      <c r="AA130" s="1">
        <v>0</v>
      </c>
      <c r="AB130" s="1">
        <v>1059935</v>
      </c>
      <c r="AC130" s="1"/>
      <c r="AD130" s="1"/>
      <c r="AE130" s="1"/>
      <c r="AF130" s="1">
        <v>1059935</v>
      </c>
      <c r="AG130" s="1"/>
      <c r="AH130" s="1">
        <v>1086072</v>
      </c>
      <c r="AI130" s="1"/>
      <c r="AJ130" s="1"/>
      <c r="AK130" s="1">
        <v>1086072</v>
      </c>
      <c r="AL130" s="1"/>
      <c r="AM130" s="1">
        <v>4567087</v>
      </c>
      <c r="AN130" s="1">
        <v>0</v>
      </c>
      <c r="AO130" s="1"/>
      <c r="AP130" s="1"/>
      <c r="AQ130" s="1">
        <v>4567087</v>
      </c>
      <c r="AR130" s="1">
        <v>0</v>
      </c>
      <c r="AS130" s="1">
        <v>735538</v>
      </c>
      <c r="AT130" s="1"/>
      <c r="AU130" s="1">
        <v>3831549</v>
      </c>
      <c r="AV130" s="1">
        <v>0</v>
      </c>
    </row>
    <row r="131" spans="1:48" s="3" customFormat="1" ht="12" x14ac:dyDescent="0.2">
      <c r="A131" s="1">
        <v>20025</v>
      </c>
      <c r="B131" s="1">
        <v>0</v>
      </c>
      <c r="C131" s="1">
        <v>201429036</v>
      </c>
      <c r="D131" s="1" t="s">
        <v>148</v>
      </c>
      <c r="E131" s="1">
        <v>6</v>
      </c>
      <c r="F131" s="1">
        <v>1</v>
      </c>
      <c r="G131" s="1">
        <v>0</v>
      </c>
      <c r="H131" s="1">
        <v>1</v>
      </c>
      <c r="I131" s="1">
        <v>2020</v>
      </c>
      <c r="J131" s="1">
        <v>4</v>
      </c>
      <c r="K131" s="1" t="s">
        <v>0</v>
      </c>
      <c r="L131" s="1">
        <v>2</v>
      </c>
      <c r="M131" s="1">
        <v>30</v>
      </c>
      <c r="N131" s="1">
        <v>0</v>
      </c>
      <c r="O131" s="1">
        <v>44277.504363425927</v>
      </c>
      <c r="P131" s="1">
        <v>27588136</v>
      </c>
      <c r="Q131" s="1">
        <v>22964562</v>
      </c>
      <c r="R131" s="1">
        <v>4623574</v>
      </c>
      <c r="S131" s="1">
        <v>0</v>
      </c>
      <c r="T131" s="1">
        <v>3193655</v>
      </c>
      <c r="U131" s="1"/>
      <c r="V131" s="1">
        <v>684145</v>
      </c>
      <c r="W131" s="1">
        <v>2509510</v>
      </c>
      <c r="X131" s="1"/>
      <c r="Y131" s="1">
        <v>1882963</v>
      </c>
      <c r="Z131" s="1">
        <v>3312882</v>
      </c>
      <c r="AA131" s="1">
        <v>0</v>
      </c>
      <c r="AB131" s="1">
        <v>70358</v>
      </c>
      <c r="AC131" s="1"/>
      <c r="AD131" s="1"/>
      <c r="AE131" s="1"/>
      <c r="AF131" s="1">
        <v>70358</v>
      </c>
      <c r="AG131" s="1"/>
      <c r="AH131" s="1">
        <v>993315</v>
      </c>
      <c r="AI131" s="1"/>
      <c r="AJ131" s="1"/>
      <c r="AK131" s="1">
        <v>993315</v>
      </c>
      <c r="AL131" s="1"/>
      <c r="AM131" s="1">
        <v>2389925</v>
      </c>
      <c r="AN131" s="1">
        <v>0</v>
      </c>
      <c r="AO131" s="1"/>
      <c r="AP131" s="1"/>
      <c r="AQ131" s="1">
        <v>2389925</v>
      </c>
      <c r="AR131" s="1">
        <v>0</v>
      </c>
      <c r="AS131" s="1">
        <v>398376</v>
      </c>
      <c r="AT131" s="1"/>
      <c r="AU131" s="1">
        <v>1991549</v>
      </c>
      <c r="AV131" s="1">
        <v>0</v>
      </c>
    </row>
    <row r="132" spans="1:48" s="3" customFormat="1" ht="12" x14ac:dyDescent="0.2">
      <c r="A132" s="1">
        <v>20025</v>
      </c>
      <c r="B132" s="1">
        <v>0</v>
      </c>
      <c r="C132" s="1">
        <v>201429036</v>
      </c>
      <c r="D132" s="1" t="s">
        <v>148</v>
      </c>
      <c r="E132" s="1">
        <v>6</v>
      </c>
      <c r="F132" s="1">
        <v>1</v>
      </c>
      <c r="G132" s="1">
        <v>0</v>
      </c>
      <c r="H132" s="1">
        <v>1</v>
      </c>
      <c r="I132" s="1">
        <v>2019</v>
      </c>
      <c r="J132" s="1">
        <v>4</v>
      </c>
      <c r="K132" s="1" t="s">
        <v>0</v>
      </c>
      <c r="L132" s="1">
        <v>1</v>
      </c>
      <c r="M132" s="1">
        <v>30</v>
      </c>
      <c r="N132" s="1">
        <v>0</v>
      </c>
      <c r="O132" s="1">
        <v>43872.728368055556</v>
      </c>
      <c r="P132" s="1">
        <v>34019987</v>
      </c>
      <c r="Q132" s="1">
        <v>27098151</v>
      </c>
      <c r="R132" s="1">
        <v>6921836</v>
      </c>
      <c r="S132" s="1">
        <v>0</v>
      </c>
      <c r="T132" s="1">
        <v>4347742</v>
      </c>
      <c r="U132" s="1"/>
      <c r="V132" s="1">
        <v>660726</v>
      </c>
      <c r="W132" s="1">
        <v>3687016</v>
      </c>
      <c r="X132" s="1"/>
      <c r="Y132" s="1">
        <v>5637689</v>
      </c>
      <c r="Z132" s="1">
        <v>8211783</v>
      </c>
      <c r="AA132" s="1">
        <v>0</v>
      </c>
      <c r="AB132" s="1">
        <v>61072</v>
      </c>
      <c r="AC132" s="1"/>
      <c r="AD132" s="1"/>
      <c r="AE132" s="1"/>
      <c r="AF132" s="1">
        <v>61072</v>
      </c>
      <c r="AG132" s="1"/>
      <c r="AH132" s="1">
        <v>1498492</v>
      </c>
      <c r="AI132" s="1"/>
      <c r="AJ132" s="1"/>
      <c r="AK132" s="1">
        <v>1498492</v>
      </c>
      <c r="AL132" s="1"/>
      <c r="AM132" s="1">
        <v>6774363</v>
      </c>
      <c r="AN132" s="1">
        <v>0</v>
      </c>
      <c r="AO132" s="1"/>
      <c r="AP132" s="1"/>
      <c r="AQ132" s="1">
        <v>6774363</v>
      </c>
      <c r="AR132" s="1">
        <v>0</v>
      </c>
      <c r="AS132" s="1">
        <v>945458</v>
      </c>
      <c r="AT132" s="1"/>
      <c r="AU132" s="1">
        <v>5828905</v>
      </c>
      <c r="AV132" s="1">
        <v>0</v>
      </c>
    </row>
    <row r="133" spans="1:48" s="3" customFormat="1" ht="12" x14ac:dyDescent="0.2">
      <c r="A133" s="1">
        <v>20025</v>
      </c>
      <c r="B133" s="1">
        <v>0</v>
      </c>
      <c r="C133" s="7">
        <v>201429036</v>
      </c>
      <c r="D133" s="1" t="s">
        <v>148</v>
      </c>
      <c r="E133" s="1">
        <v>6</v>
      </c>
      <c r="F133" s="1">
        <v>1</v>
      </c>
      <c r="G133" s="1">
        <v>0</v>
      </c>
      <c r="H133" s="1">
        <v>1</v>
      </c>
      <c r="I133" s="1">
        <v>2018</v>
      </c>
      <c r="J133" s="1">
        <v>4</v>
      </c>
      <c r="K133" s="1" t="s">
        <v>0</v>
      </c>
      <c r="L133" s="1">
        <v>1</v>
      </c>
      <c r="M133" s="1">
        <v>30</v>
      </c>
      <c r="N133" s="1">
        <v>0</v>
      </c>
      <c r="O133" s="1">
        <v>43507.62871527778</v>
      </c>
      <c r="P133" s="1">
        <v>37063601</v>
      </c>
      <c r="Q133" s="1">
        <v>26303839</v>
      </c>
      <c r="R133" s="2">
        <v>10759762</v>
      </c>
      <c r="S133" s="2">
        <v>0</v>
      </c>
      <c r="T133" s="1">
        <v>5205602</v>
      </c>
      <c r="U133" s="1"/>
      <c r="V133" s="1">
        <v>487539</v>
      </c>
      <c r="W133" s="1">
        <v>4718063</v>
      </c>
      <c r="X133" s="1"/>
      <c r="Y133" s="1">
        <v>2430631</v>
      </c>
      <c r="Z133" s="1">
        <v>7984791</v>
      </c>
      <c r="AA133" s="1">
        <v>0</v>
      </c>
      <c r="AB133" s="1">
        <v>552460</v>
      </c>
      <c r="AC133" s="1"/>
      <c r="AD133" s="1"/>
      <c r="AE133" s="1"/>
      <c r="AF133" s="1">
        <v>552460</v>
      </c>
      <c r="AG133" s="1"/>
      <c r="AH133" s="1">
        <v>806750</v>
      </c>
      <c r="AI133" s="1"/>
      <c r="AJ133" s="1"/>
      <c r="AK133" s="1">
        <v>806750</v>
      </c>
      <c r="AL133" s="1"/>
      <c r="AM133" s="1">
        <v>7730501</v>
      </c>
      <c r="AN133" s="1">
        <v>0</v>
      </c>
      <c r="AO133" s="1"/>
      <c r="AP133" s="1"/>
      <c r="AQ133" s="1">
        <v>7730501</v>
      </c>
      <c r="AR133" s="1">
        <v>0</v>
      </c>
      <c r="AS133" s="1">
        <v>1136881</v>
      </c>
      <c r="AT133" s="1"/>
      <c r="AU133" s="1">
        <v>6593620</v>
      </c>
      <c r="AV133" s="1">
        <v>0</v>
      </c>
    </row>
    <row r="134" spans="1:48" s="3" customFormat="1" ht="12" x14ac:dyDescent="0.2">
      <c r="A134" s="1">
        <v>20025</v>
      </c>
      <c r="B134" s="1">
        <v>0</v>
      </c>
      <c r="C134" s="1">
        <v>201535024</v>
      </c>
      <c r="D134" s="1" t="s">
        <v>149</v>
      </c>
      <c r="E134" s="1">
        <v>26</v>
      </c>
      <c r="F134" s="1">
        <v>1</v>
      </c>
      <c r="G134" s="1">
        <v>0</v>
      </c>
      <c r="H134" s="1">
        <v>1</v>
      </c>
      <c r="I134" s="1">
        <v>2021</v>
      </c>
      <c r="J134" s="1">
        <v>4</v>
      </c>
      <c r="K134" s="1" t="s">
        <v>0</v>
      </c>
      <c r="L134" s="1">
        <v>1</v>
      </c>
      <c r="M134" s="1">
        <v>30</v>
      </c>
      <c r="N134" s="1">
        <v>0</v>
      </c>
      <c r="O134" s="1">
        <v>44645.972245370373</v>
      </c>
      <c r="P134" s="1">
        <v>2410377.91</v>
      </c>
      <c r="Q134" s="1">
        <v>1645130.15</v>
      </c>
      <c r="R134" s="1">
        <v>765247.76</v>
      </c>
      <c r="S134" s="1">
        <v>0</v>
      </c>
      <c r="T134" s="1">
        <v>970038.66</v>
      </c>
      <c r="U134" s="1">
        <v>268083.56</v>
      </c>
      <c r="V134" s="1">
        <v>539411.84</v>
      </c>
      <c r="W134" s="1">
        <v>162543.26</v>
      </c>
      <c r="X134" s="1"/>
      <c r="Y134" s="1">
        <v>13980.04</v>
      </c>
      <c r="Z134" s="1">
        <v>0</v>
      </c>
      <c r="AA134" s="1">
        <v>190810.86</v>
      </c>
      <c r="AB134" s="1">
        <v>41193.56</v>
      </c>
      <c r="AC134" s="1"/>
      <c r="AD134" s="1">
        <v>4260.82</v>
      </c>
      <c r="AE134" s="1"/>
      <c r="AF134" s="1">
        <v>36932.74</v>
      </c>
      <c r="AG134" s="1"/>
      <c r="AH134" s="1">
        <v>26489.4</v>
      </c>
      <c r="AI134" s="1"/>
      <c r="AJ134" s="1"/>
      <c r="AK134" s="1">
        <v>20206.63</v>
      </c>
      <c r="AL134" s="1">
        <v>6282.77</v>
      </c>
      <c r="AM134" s="1">
        <v>0</v>
      </c>
      <c r="AN134" s="1">
        <v>176106.7</v>
      </c>
      <c r="AO134" s="1"/>
      <c r="AP134" s="1"/>
      <c r="AQ134" s="1">
        <v>0</v>
      </c>
      <c r="AR134" s="1">
        <v>176106.7</v>
      </c>
      <c r="AS134" s="1"/>
      <c r="AT134" s="1"/>
      <c r="AU134" s="1">
        <v>-176106.7</v>
      </c>
      <c r="AV134" s="1">
        <v>176106.7</v>
      </c>
    </row>
    <row r="135" spans="1:48" s="3" customFormat="1" ht="12" x14ac:dyDescent="0.2">
      <c r="A135" s="1">
        <v>20025</v>
      </c>
      <c r="B135" s="1">
        <v>0</v>
      </c>
      <c r="C135" s="1">
        <v>201535024</v>
      </c>
      <c r="D135" s="1" t="s">
        <v>149</v>
      </c>
      <c r="E135" s="1">
        <v>26</v>
      </c>
      <c r="F135" s="1">
        <v>1</v>
      </c>
      <c r="G135" s="1">
        <v>0</v>
      </c>
      <c r="H135" s="1">
        <v>1</v>
      </c>
      <c r="I135" s="1">
        <v>2020</v>
      </c>
      <c r="J135" s="1">
        <v>4</v>
      </c>
      <c r="K135" s="1" t="s">
        <v>0</v>
      </c>
      <c r="L135" s="1">
        <v>2</v>
      </c>
      <c r="M135" s="1">
        <v>30</v>
      </c>
      <c r="N135" s="1">
        <v>0</v>
      </c>
      <c r="O135" s="1">
        <v>44364.878622685188</v>
      </c>
      <c r="P135" s="1">
        <v>2135924.98</v>
      </c>
      <c r="Q135" s="1">
        <v>1500828.84</v>
      </c>
      <c r="R135" s="1">
        <v>635096.14</v>
      </c>
      <c r="S135" s="1">
        <v>0</v>
      </c>
      <c r="T135" s="1">
        <v>632180.31999999995</v>
      </c>
      <c r="U135" s="1">
        <v>170846.5</v>
      </c>
      <c r="V135" s="1">
        <v>339850.26</v>
      </c>
      <c r="W135" s="1">
        <v>121483.56</v>
      </c>
      <c r="X135" s="1"/>
      <c r="Y135" s="1">
        <v>148.53</v>
      </c>
      <c r="Z135" s="1">
        <v>3064.35</v>
      </c>
      <c r="AA135" s="1">
        <v>0</v>
      </c>
      <c r="AB135" s="1">
        <v>94966.77</v>
      </c>
      <c r="AC135" s="1"/>
      <c r="AD135" s="1"/>
      <c r="AE135" s="1"/>
      <c r="AF135" s="1">
        <v>94966.77</v>
      </c>
      <c r="AG135" s="1"/>
      <c r="AH135" s="1">
        <v>7116.31</v>
      </c>
      <c r="AI135" s="1"/>
      <c r="AJ135" s="1"/>
      <c r="AK135" s="1">
        <v>7116.31</v>
      </c>
      <c r="AL135" s="1"/>
      <c r="AM135" s="1">
        <v>90914.81</v>
      </c>
      <c r="AN135" s="1">
        <v>0</v>
      </c>
      <c r="AO135" s="1"/>
      <c r="AP135" s="1"/>
      <c r="AQ135" s="1">
        <v>90914.81</v>
      </c>
      <c r="AR135" s="1">
        <v>0</v>
      </c>
      <c r="AS135" s="1">
        <v>14380.98</v>
      </c>
      <c r="AT135" s="1">
        <v>43063.14</v>
      </c>
      <c r="AU135" s="1">
        <v>33470.69</v>
      </c>
      <c r="AV135" s="1">
        <v>0</v>
      </c>
    </row>
    <row r="136" spans="1:48" s="3" customFormat="1" ht="12" x14ac:dyDescent="0.2">
      <c r="A136" s="1">
        <v>20025</v>
      </c>
      <c r="B136" s="1">
        <v>0</v>
      </c>
      <c r="C136" s="1">
        <v>201535024</v>
      </c>
      <c r="D136" s="1" t="s">
        <v>149</v>
      </c>
      <c r="E136" s="1">
        <v>26</v>
      </c>
      <c r="F136" s="1">
        <v>1</v>
      </c>
      <c r="G136" s="1">
        <v>0</v>
      </c>
      <c r="H136" s="1">
        <v>1</v>
      </c>
      <c r="I136" s="1">
        <v>2019</v>
      </c>
      <c r="J136" s="1">
        <v>4</v>
      </c>
      <c r="K136" s="1" t="s">
        <v>0</v>
      </c>
      <c r="L136" s="1">
        <v>1</v>
      </c>
      <c r="M136" s="1">
        <v>30</v>
      </c>
      <c r="N136" s="1">
        <v>0</v>
      </c>
      <c r="O136" s="1">
        <v>43915.961180555554</v>
      </c>
      <c r="P136" s="1">
        <v>1701742.51</v>
      </c>
      <c r="Q136" s="1">
        <v>1606363</v>
      </c>
      <c r="R136" s="1">
        <v>95379.51</v>
      </c>
      <c r="S136" s="1">
        <v>0</v>
      </c>
      <c r="T136" s="1">
        <v>823550.94</v>
      </c>
      <c r="U136" s="1">
        <v>152627.13</v>
      </c>
      <c r="V136" s="1">
        <v>464654.47</v>
      </c>
      <c r="W136" s="1">
        <v>206269.34</v>
      </c>
      <c r="X136" s="1"/>
      <c r="Y136" s="1">
        <v>11784.38</v>
      </c>
      <c r="Z136" s="1">
        <v>0</v>
      </c>
      <c r="AA136" s="1">
        <v>716387.05</v>
      </c>
      <c r="AB136" s="1">
        <v>94042.880000000005</v>
      </c>
      <c r="AC136" s="1"/>
      <c r="AD136" s="1"/>
      <c r="AE136" s="1"/>
      <c r="AF136" s="1">
        <v>94042.880000000005</v>
      </c>
      <c r="AG136" s="1"/>
      <c r="AH136" s="1">
        <v>4773.04</v>
      </c>
      <c r="AI136" s="1"/>
      <c r="AJ136" s="1"/>
      <c r="AK136" s="1">
        <v>4773.04</v>
      </c>
      <c r="AL136" s="1"/>
      <c r="AM136" s="1">
        <v>0</v>
      </c>
      <c r="AN136" s="1">
        <v>627117.21</v>
      </c>
      <c r="AO136" s="1"/>
      <c r="AP136" s="1"/>
      <c r="AQ136" s="1">
        <v>0</v>
      </c>
      <c r="AR136" s="1">
        <v>627117.21</v>
      </c>
      <c r="AS136" s="1"/>
      <c r="AT136" s="1">
        <v>64569.7</v>
      </c>
      <c r="AU136" s="1">
        <v>-691686.91</v>
      </c>
      <c r="AV136" s="1">
        <v>691686.91</v>
      </c>
    </row>
    <row r="137" spans="1:48" s="3" customFormat="1" ht="12" x14ac:dyDescent="0.2">
      <c r="A137" s="1">
        <v>20025</v>
      </c>
      <c r="B137" s="1">
        <v>0</v>
      </c>
      <c r="C137" s="7">
        <v>201535024</v>
      </c>
      <c r="D137" s="1" t="s">
        <v>149</v>
      </c>
      <c r="E137" s="1">
        <v>26</v>
      </c>
      <c r="F137" s="1">
        <v>1</v>
      </c>
      <c r="G137" s="1">
        <v>0</v>
      </c>
      <c r="H137" s="1">
        <v>1</v>
      </c>
      <c r="I137" s="1">
        <v>2018</v>
      </c>
      <c r="J137" s="1">
        <v>4</v>
      </c>
      <c r="K137" s="1" t="s">
        <v>0</v>
      </c>
      <c r="L137" s="1">
        <v>1</v>
      </c>
      <c r="M137" s="1">
        <v>30</v>
      </c>
      <c r="N137" s="1">
        <v>0</v>
      </c>
      <c r="O137" s="1">
        <v>43549.473622685182</v>
      </c>
      <c r="P137" s="1">
        <v>3130494.47</v>
      </c>
      <c r="Q137" s="1">
        <v>2099051.44</v>
      </c>
      <c r="R137" s="2">
        <v>1031443.03</v>
      </c>
      <c r="S137" s="2">
        <v>0</v>
      </c>
      <c r="T137" s="1">
        <v>977636.91</v>
      </c>
      <c r="U137" s="1">
        <v>231088.49</v>
      </c>
      <c r="V137" s="1">
        <v>605053.39</v>
      </c>
      <c r="W137" s="1">
        <v>141495.03</v>
      </c>
      <c r="X137" s="1">
        <v>0</v>
      </c>
      <c r="Y137" s="1">
        <v>0</v>
      </c>
      <c r="Z137" s="1">
        <v>53806.12</v>
      </c>
      <c r="AA137" s="1">
        <v>0</v>
      </c>
      <c r="AB137" s="1">
        <v>160766.13</v>
      </c>
      <c r="AC137" s="1">
        <v>0</v>
      </c>
      <c r="AD137" s="1">
        <v>0</v>
      </c>
      <c r="AE137" s="1">
        <v>0</v>
      </c>
      <c r="AF137" s="1">
        <v>58737.35</v>
      </c>
      <c r="AG137" s="1">
        <v>102028.78</v>
      </c>
      <c r="AH137" s="1">
        <v>43982.31</v>
      </c>
      <c r="AI137" s="1">
        <v>0</v>
      </c>
      <c r="AJ137" s="1">
        <v>0</v>
      </c>
      <c r="AK137" s="1">
        <v>43982.31</v>
      </c>
      <c r="AL137" s="1">
        <v>0</v>
      </c>
      <c r="AM137" s="1">
        <v>170589.94</v>
      </c>
      <c r="AN137" s="1">
        <v>0</v>
      </c>
      <c r="AO137" s="1"/>
      <c r="AP137" s="1"/>
      <c r="AQ137" s="1">
        <v>170589.94</v>
      </c>
      <c r="AR137" s="1">
        <v>0</v>
      </c>
      <c r="AS137" s="1">
        <v>160798.67000000001</v>
      </c>
      <c r="AT137" s="1">
        <v>31304.94</v>
      </c>
      <c r="AU137" s="1">
        <v>-21513.67</v>
      </c>
      <c r="AV137" s="1">
        <v>21513.67</v>
      </c>
    </row>
    <row r="138" spans="1:48" s="3" customFormat="1" ht="12" x14ac:dyDescent="0.2">
      <c r="A138" s="1">
        <v>20025</v>
      </c>
      <c r="B138" s="1">
        <v>0</v>
      </c>
      <c r="C138" s="1">
        <v>201577264</v>
      </c>
      <c r="D138" s="1" t="s">
        <v>150</v>
      </c>
      <c r="E138" s="1">
        <v>12</v>
      </c>
      <c r="F138" s="1">
        <v>5</v>
      </c>
      <c r="G138" s="1">
        <v>0</v>
      </c>
      <c r="H138" s="1">
        <v>1</v>
      </c>
      <c r="I138" s="1">
        <v>2021</v>
      </c>
      <c r="J138" s="1">
        <v>4</v>
      </c>
      <c r="K138" s="1" t="s">
        <v>0</v>
      </c>
      <c r="L138" s="1">
        <v>1</v>
      </c>
      <c r="M138" s="1">
        <v>30</v>
      </c>
      <c r="N138" s="1">
        <v>0</v>
      </c>
      <c r="O138" s="1">
        <v>44606.681875000002</v>
      </c>
      <c r="P138" s="1">
        <v>43708564</v>
      </c>
      <c r="Q138" s="1">
        <v>41343874</v>
      </c>
      <c r="R138" s="1">
        <v>2364690</v>
      </c>
      <c r="S138" s="1">
        <v>0</v>
      </c>
      <c r="T138" s="1">
        <v>2361652</v>
      </c>
      <c r="U138" s="1">
        <v>53075</v>
      </c>
      <c r="V138" s="1">
        <v>1586448</v>
      </c>
      <c r="W138" s="1">
        <v>722129</v>
      </c>
      <c r="X138" s="1"/>
      <c r="Y138" s="1">
        <v>365581</v>
      </c>
      <c r="Z138" s="1">
        <v>368619</v>
      </c>
      <c r="AA138" s="1">
        <v>0</v>
      </c>
      <c r="AB138" s="1">
        <v>84624</v>
      </c>
      <c r="AC138" s="1"/>
      <c r="AD138" s="1">
        <v>84624</v>
      </c>
      <c r="AE138" s="1"/>
      <c r="AF138" s="1"/>
      <c r="AG138" s="1"/>
      <c r="AH138" s="1">
        <v>13627</v>
      </c>
      <c r="AI138" s="1">
        <v>13627</v>
      </c>
      <c r="AJ138" s="1"/>
      <c r="AK138" s="1"/>
      <c r="AL138" s="1"/>
      <c r="AM138" s="1">
        <v>439616</v>
      </c>
      <c r="AN138" s="1">
        <v>0</v>
      </c>
      <c r="AO138" s="1"/>
      <c r="AP138" s="1"/>
      <c r="AQ138" s="1">
        <v>439616</v>
      </c>
      <c r="AR138" s="1">
        <v>0</v>
      </c>
      <c r="AS138" s="1">
        <v>130130</v>
      </c>
      <c r="AT138" s="1"/>
      <c r="AU138" s="1">
        <v>309486</v>
      </c>
      <c r="AV138" s="1">
        <v>0</v>
      </c>
    </row>
    <row r="139" spans="1:48" s="3" customFormat="1" ht="12" x14ac:dyDescent="0.2">
      <c r="A139" s="1">
        <v>20025</v>
      </c>
      <c r="B139" s="1">
        <v>0</v>
      </c>
      <c r="C139" s="1">
        <v>201577264</v>
      </c>
      <c r="D139" s="1" t="s">
        <v>150</v>
      </c>
      <c r="E139" s="1">
        <v>12</v>
      </c>
      <c r="F139" s="1">
        <v>5</v>
      </c>
      <c r="G139" s="1">
        <v>0</v>
      </c>
      <c r="H139" s="1">
        <v>1</v>
      </c>
      <c r="I139" s="1">
        <v>2020</v>
      </c>
      <c r="J139" s="1">
        <v>4</v>
      </c>
      <c r="K139" s="1" t="s">
        <v>0</v>
      </c>
      <c r="L139" s="1">
        <v>1</v>
      </c>
      <c r="M139" s="1">
        <v>30</v>
      </c>
      <c r="N139" s="1">
        <v>0</v>
      </c>
      <c r="O139" s="1">
        <v>44242.670046296298</v>
      </c>
      <c r="P139" s="1">
        <v>61638558</v>
      </c>
      <c r="Q139" s="1">
        <v>53841903</v>
      </c>
      <c r="R139" s="1">
        <v>7796655</v>
      </c>
      <c r="S139" s="1">
        <v>0</v>
      </c>
      <c r="T139" s="1">
        <v>6114507</v>
      </c>
      <c r="U139" s="1">
        <v>130089</v>
      </c>
      <c r="V139" s="1">
        <v>1999826</v>
      </c>
      <c r="W139" s="1">
        <v>3984592</v>
      </c>
      <c r="X139" s="1"/>
      <c r="Y139" s="1">
        <v>68360</v>
      </c>
      <c r="Z139" s="1">
        <v>1750508</v>
      </c>
      <c r="AA139" s="1">
        <v>0</v>
      </c>
      <c r="AB139" s="1">
        <v>150200</v>
      </c>
      <c r="AC139" s="1"/>
      <c r="AD139" s="1"/>
      <c r="AE139" s="1"/>
      <c r="AF139" s="1"/>
      <c r="AG139" s="1">
        <v>150200</v>
      </c>
      <c r="AH139" s="1">
        <v>134242</v>
      </c>
      <c r="AI139" s="1">
        <v>134242</v>
      </c>
      <c r="AJ139" s="1"/>
      <c r="AK139" s="1"/>
      <c r="AL139" s="1"/>
      <c r="AM139" s="1">
        <v>1766466</v>
      </c>
      <c r="AN139" s="1">
        <v>0</v>
      </c>
      <c r="AO139" s="1"/>
      <c r="AP139" s="1"/>
      <c r="AQ139" s="1">
        <v>1766466</v>
      </c>
      <c r="AR139" s="1">
        <v>0</v>
      </c>
      <c r="AS139" s="1">
        <v>560670</v>
      </c>
      <c r="AT139" s="1"/>
      <c r="AU139" s="1">
        <v>1205796</v>
      </c>
      <c r="AV139" s="1">
        <v>0</v>
      </c>
    </row>
    <row r="140" spans="1:48" s="3" customFormat="1" ht="12" x14ac:dyDescent="0.2">
      <c r="A140" s="1">
        <v>20025</v>
      </c>
      <c r="B140" s="1">
        <v>0</v>
      </c>
      <c r="C140" s="1">
        <v>201577264</v>
      </c>
      <c r="D140" s="1" t="s">
        <v>150</v>
      </c>
      <c r="E140" s="1">
        <v>12</v>
      </c>
      <c r="F140" s="1">
        <v>5</v>
      </c>
      <c r="G140" s="1">
        <v>0</v>
      </c>
      <c r="H140" s="1">
        <v>1</v>
      </c>
      <c r="I140" s="1">
        <v>2019</v>
      </c>
      <c r="J140" s="1">
        <v>4</v>
      </c>
      <c r="K140" s="1" t="s">
        <v>0</v>
      </c>
      <c r="L140" s="1">
        <v>1</v>
      </c>
      <c r="M140" s="1">
        <v>30</v>
      </c>
      <c r="N140" s="1">
        <v>0</v>
      </c>
      <c r="O140" s="1">
        <v>43876.66810185185</v>
      </c>
      <c r="P140" s="1">
        <v>49926258</v>
      </c>
      <c r="Q140" s="1">
        <v>43019155</v>
      </c>
      <c r="R140" s="1">
        <v>6907103</v>
      </c>
      <c r="S140" s="1">
        <v>0</v>
      </c>
      <c r="T140" s="1">
        <v>3384054</v>
      </c>
      <c r="U140" s="1">
        <v>760405</v>
      </c>
      <c r="V140" s="1">
        <v>1474396</v>
      </c>
      <c r="W140" s="1">
        <v>1149253</v>
      </c>
      <c r="X140" s="1"/>
      <c r="Y140" s="1">
        <v>77317</v>
      </c>
      <c r="Z140" s="1">
        <v>3600366</v>
      </c>
      <c r="AA140" s="1">
        <v>0</v>
      </c>
      <c r="AB140" s="1">
        <v>16857</v>
      </c>
      <c r="AC140" s="1">
        <v>436</v>
      </c>
      <c r="AD140" s="1"/>
      <c r="AE140" s="1"/>
      <c r="AF140" s="1"/>
      <c r="AG140" s="1">
        <v>16421</v>
      </c>
      <c r="AH140" s="1">
        <v>189381</v>
      </c>
      <c r="AI140" s="1">
        <v>189381</v>
      </c>
      <c r="AJ140" s="1"/>
      <c r="AK140" s="1"/>
      <c r="AL140" s="1"/>
      <c r="AM140" s="1">
        <v>3427842</v>
      </c>
      <c r="AN140" s="1">
        <v>0</v>
      </c>
      <c r="AO140" s="1"/>
      <c r="AP140" s="1"/>
      <c r="AQ140" s="1">
        <v>3427842</v>
      </c>
      <c r="AR140" s="1">
        <v>0</v>
      </c>
      <c r="AS140" s="1">
        <v>452140</v>
      </c>
      <c r="AT140" s="1"/>
      <c r="AU140" s="1">
        <v>2975702</v>
      </c>
      <c r="AV140" s="1">
        <v>0</v>
      </c>
    </row>
    <row r="141" spans="1:48" s="3" customFormat="1" ht="12" x14ac:dyDescent="0.2">
      <c r="A141" s="1">
        <v>20025</v>
      </c>
      <c r="B141" s="1">
        <v>0</v>
      </c>
      <c r="C141" s="7">
        <v>201577264</v>
      </c>
      <c r="D141" s="1" t="s">
        <v>150</v>
      </c>
      <c r="E141" s="1">
        <v>12</v>
      </c>
      <c r="F141" s="1">
        <v>5</v>
      </c>
      <c r="G141" s="1">
        <v>0</v>
      </c>
      <c r="H141" s="1">
        <v>1</v>
      </c>
      <c r="I141" s="1">
        <v>2018</v>
      </c>
      <c r="J141" s="1">
        <v>4</v>
      </c>
      <c r="K141" s="1" t="s">
        <v>0</v>
      </c>
      <c r="L141" s="1">
        <v>1</v>
      </c>
      <c r="M141" s="1">
        <v>30</v>
      </c>
      <c r="N141" s="1">
        <v>0</v>
      </c>
      <c r="O141" s="1">
        <v>43511.42460648148</v>
      </c>
      <c r="P141" s="1">
        <v>27613968</v>
      </c>
      <c r="Q141" s="1">
        <v>24858255</v>
      </c>
      <c r="R141" s="2">
        <v>2755713</v>
      </c>
      <c r="S141" s="2">
        <v>0</v>
      </c>
      <c r="T141" s="1">
        <v>2389474</v>
      </c>
      <c r="U141" s="1">
        <v>314589</v>
      </c>
      <c r="V141" s="1">
        <v>527118</v>
      </c>
      <c r="W141" s="1">
        <v>1547767</v>
      </c>
      <c r="X141" s="1"/>
      <c r="Y141" s="1">
        <v>81677</v>
      </c>
      <c r="Z141" s="1">
        <v>447916</v>
      </c>
      <c r="AA141" s="1">
        <v>0</v>
      </c>
      <c r="AB141" s="1">
        <v>13533</v>
      </c>
      <c r="AC141" s="1">
        <v>235</v>
      </c>
      <c r="AD141" s="1"/>
      <c r="AE141" s="1"/>
      <c r="AF141" s="1"/>
      <c r="AG141" s="1">
        <v>13298</v>
      </c>
      <c r="AH141" s="1">
        <v>160000</v>
      </c>
      <c r="AI141" s="1">
        <v>160000</v>
      </c>
      <c r="AJ141" s="1"/>
      <c r="AK141" s="1"/>
      <c r="AL141" s="1"/>
      <c r="AM141" s="1">
        <v>301449</v>
      </c>
      <c r="AN141" s="1">
        <v>0</v>
      </c>
      <c r="AO141" s="1"/>
      <c r="AP141" s="1"/>
      <c r="AQ141" s="1">
        <v>301449</v>
      </c>
      <c r="AR141" s="1">
        <v>0</v>
      </c>
      <c r="AS141" s="1">
        <v>76230</v>
      </c>
      <c r="AT141" s="1"/>
      <c r="AU141" s="1">
        <v>225219</v>
      </c>
      <c r="AV141" s="1">
        <v>0</v>
      </c>
    </row>
    <row r="142" spans="1:48" s="3" customFormat="1" ht="12" x14ac:dyDescent="0.2">
      <c r="A142" s="1">
        <v>20025</v>
      </c>
      <c r="B142" s="1">
        <v>0</v>
      </c>
      <c r="C142" s="1">
        <v>201818683</v>
      </c>
      <c r="D142" s="1" t="s">
        <v>151</v>
      </c>
      <c r="E142" s="1">
        <v>18</v>
      </c>
      <c r="F142" s="1">
        <v>18</v>
      </c>
      <c r="G142" s="1">
        <v>0</v>
      </c>
      <c r="H142" s="1">
        <v>1</v>
      </c>
      <c r="I142" s="1">
        <v>2021</v>
      </c>
      <c r="J142" s="1">
        <v>4</v>
      </c>
      <c r="K142" s="1" t="s">
        <v>0</v>
      </c>
      <c r="L142" s="1">
        <v>2</v>
      </c>
      <c r="M142" s="1">
        <v>30</v>
      </c>
      <c r="N142" s="1">
        <v>0</v>
      </c>
      <c r="O142" s="1">
        <v>44635.484166666669</v>
      </c>
      <c r="P142" s="1">
        <v>126954412</v>
      </c>
      <c r="Q142" s="1">
        <v>108487287</v>
      </c>
      <c r="R142" s="1">
        <v>18467125</v>
      </c>
      <c r="S142" s="1">
        <v>0</v>
      </c>
      <c r="T142" s="1">
        <v>15286325</v>
      </c>
      <c r="U142" s="1">
        <v>335457</v>
      </c>
      <c r="V142" s="1">
        <v>1546394</v>
      </c>
      <c r="W142" s="1">
        <v>13183973</v>
      </c>
      <c r="X142" s="1">
        <v>220501</v>
      </c>
      <c r="Y142" s="1">
        <v>592551</v>
      </c>
      <c r="Z142" s="1">
        <v>3773351</v>
      </c>
      <c r="AA142" s="1">
        <v>0</v>
      </c>
      <c r="AB142" s="1"/>
      <c r="AC142" s="1"/>
      <c r="AD142" s="1"/>
      <c r="AE142" s="1"/>
      <c r="AF142" s="1"/>
      <c r="AG142" s="1"/>
      <c r="AH142" s="1">
        <v>626997</v>
      </c>
      <c r="AI142" s="1">
        <v>626997</v>
      </c>
      <c r="AJ142" s="1"/>
      <c r="AK142" s="1"/>
      <c r="AL142" s="1"/>
      <c r="AM142" s="1">
        <v>3146354</v>
      </c>
      <c r="AN142" s="1">
        <v>0</v>
      </c>
      <c r="AO142" s="1"/>
      <c r="AP142" s="1"/>
      <c r="AQ142" s="1">
        <v>3146354</v>
      </c>
      <c r="AR142" s="1">
        <v>0</v>
      </c>
      <c r="AS142" s="1">
        <v>552275</v>
      </c>
      <c r="AT142" s="1"/>
      <c r="AU142" s="1">
        <v>2594079</v>
      </c>
      <c r="AV142" s="1">
        <v>0</v>
      </c>
    </row>
    <row r="143" spans="1:48" s="3" customFormat="1" ht="12" x14ac:dyDescent="0.2">
      <c r="A143" s="1">
        <v>20025</v>
      </c>
      <c r="B143" s="1">
        <v>0</v>
      </c>
      <c r="C143" s="1">
        <v>201818683</v>
      </c>
      <c r="D143" s="1" t="s">
        <v>151</v>
      </c>
      <c r="E143" s="1">
        <v>18</v>
      </c>
      <c r="F143" s="1">
        <v>18</v>
      </c>
      <c r="G143" s="1">
        <v>0</v>
      </c>
      <c r="H143" s="1">
        <v>1</v>
      </c>
      <c r="I143" s="1">
        <v>2020</v>
      </c>
      <c r="J143" s="1">
        <v>4</v>
      </c>
      <c r="K143" s="1" t="s">
        <v>0</v>
      </c>
      <c r="L143" s="1">
        <v>2</v>
      </c>
      <c r="M143" s="1">
        <v>30</v>
      </c>
      <c r="N143" s="1">
        <v>0</v>
      </c>
      <c r="O143" s="1">
        <v>44496.492256944446</v>
      </c>
      <c r="P143" s="1">
        <v>114299937.59999999</v>
      </c>
      <c r="Q143" s="1">
        <v>94830873</v>
      </c>
      <c r="R143" s="1">
        <v>19469064.600000001</v>
      </c>
      <c r="S143" s="1">
        <v>0</v>
      </c>
      <c r="T143" s="1">
        <v>10766919.58</v>
      </c>
      <c r="U143" s="1">
        <v>139366</v>
      </c>
      <c r="V143" s="1">
        <v>1465380</v>
      </c>
      <c r="W143" s="1">
        <v>8958934</v>
      </c>
      <c r="X143" s="1">
        <v>203239.58</v>
      </c>
      <c r="Y143" s="1">
        <v>1569766.6</v>
      </c>
      <c r="Z143" s="1">
        <v>10271911.619999999</v>
      </c>
      <c r="AA143" s="1">
        <v>0</v>
      </c>
      <c r="AB143" s="1">
        <v>14862</v>
      </c>
      <c r="AC143" s="1"/>
      <c r="AD143" s="1"/>
      <c r="AE143" s="1"/>
      <c r="AF143" s="1">
        <v>14862</v>
      </c>
      <c r="AG143" s="1"/>
      <c r="AH143" s="1">
        <v>1557389</v>
      </c>
      <c r="AI143" s="1">
        <v>1535718</v>
      </c>
      <c r="AJ143" s="1"/>
      <c r="AK143" s="1">
        <v>21671</v>
      </c>
      <c r="AL143" s="1"/>
      <c r="AM143" s="1">
        <v>8729384.6199999992</v>
      </c>
      <c r="AN143" s="1">
        <v>0</v>
      </c>
      <c r="AO143" s="1"/>
      <c r="AP143" s="1"/>
      <c r="AQ143" s="1">
        <v>8729384.6199999992</v>
      </c>
      <c r="AR143" s="1">
        <v>0</v>
      </c>
      <c r="AS143" s="1">
        <v>1663329</v>
      </c>
      <c r="AT143" s="1"/>
      <c r="AU143" s="1">
        <v>7066055.6200000001</v>
      </c>
      <c r="AV143" s="1">
        <v>0</v>
      </c>
    </row>
    <row r="144" spans="1:48" s="3" customFormat="1" ht="12" x14ac:dyDescent="0.2">
      <c r="A144" s="1">
        <v>20025</v>
      </c>
      <c r="B144" s="1">
        <v>0</v>
      </c>
      <c r="C144" s="1">
        <v>201818683</v>
      </c>
      <c r="D144" s="1" t="s">
        <v>151</v>
      </c>
      <c r="E144" s="1">
        <v>18</v>
      </c>
      <c r="F144" s="1">
        <v>18</v>
      </c>
      <c r="G144" s="1">
        <v>0</v>
      </c>
      <c r="H144" s="1">
        <v>1</v>
      </c>
      <c r="I144" s="1">
        <v>2019</v>
      </c>
      <c r="J144" s="1">
        <v>4</v>
      </c>
      <c r="K144" s="1" t="s">
        <v>0</v>
      </c>
      <c r="L144" s="1">
        <v>2</v>
      </c>
      <c r="M144" s="1">
        <v>30</v>
      </c>
      <c r="N144" s="1">
        <v>0</v>
      </c>
      <c r="O144" s="1">
        <v>43958.575856481482</v>
      </c>
      <c r="P144" s="1">
        <v>75663198</v>
      </c>
      <c r="Q144" s="1">
        <v>62941601</v>
      </c>
      <c r="R144" s="1">
        <v>12721597</v>
      </c>
      <c r="S144" s="1">
        <v>0</v>
      </c>
      <c r="T144" s="1">
        <v>8075105.9000000004</v>
      </c>
      <c r="U144" s="1">
        <v>129776</v>
      </c>
      <c r="V144" s="1">
        <v>1166830</v>
      </c>
      <c r="W144" s="1">
        <v>6648007.9000000004</v>
      </c>
      <c r="X144" s="1">
        <v>130492</v>
      </c>
      <c r="Y144" s="1">
        <v>643672</v>
      </c>
      <c r="Z144" s="1">
        <v>5290163.0999999996</v>
      </c>
      <c r="AA144" s="1">
        <v>0</v>
      </c>
      <c r="AB144" s="1">
        <v>963</v>
      </c>
      <c r="AC144" s="1"/>
      <c r="AD144" s="1">
        <v>963</v>
      </c>
      <c r="AE144" s="1">
        <v>0</v>
      </c>
      <c r="AF144" s="1">
        <v>0</v>
      </c>
      <c r="AG144" s="1">
        <v>0</v>
      </c>
      <c r="AH144" s="1">
        <v>1009687.1</v>
      </c>
      <c r="AI144" s="1">
        <v>1009687.1</v>
      </c>
      <c r="AJ144" s="1">
        <v>0</v>
      </c>
      <c r="AK144" s="1">
        <v>0</v>
      </c>
      <c r="AL144" s="1">
        <v>0</v>
      </c>
      <c r="AM144" s="1">
        <v>4281439</v>
      </c>
      <c r="AN144" s="1">
        <v>0</v>
      </c>
      <c r="AO144" s="1">
        <v>0</v>
      </c>
      <c r="AP144" s="1">
        <v>0</v>
      </c>
      <c r="AQ144" s="1">
        <v>4281439</v>
      </c>
      <c r="AR144" s="1">
        <v>0</v>
      </c>
      <c r="AS144" s="1">
        <v>612043</v>
      </c>
      <c r="AT144" s="1">
        <v>0</v>
      </c>
      <c r="AU144" s="1">
        <v>3669396</v>
      </c>
      <c r="AV144" s="1">
        <v>0</v>
      </c>
    </row>
    <row r="145" spans="1:48" s="3" customFormat="1" ht="12" x14ac:dyDescent="0.2">
      <c r="A145" s="1">
        <v>20025</v>
      </c>
      <c r="B145" s="1">
        <v>0</v>
      </c>
      <c r="C145" s="7">
        <v>201818683</v>
      </c>
      <c r="D145" s="1" t="s">
        <v>151</v>
      </c>
      <c r="E145" s="1">
        <v>18</v>
      </c>
      <c r="F145" s="1">
        <v>18</v>
      </c>
      <c r="G145" s="1">
        <v>0</v>
      </c>
      <c r="H145" s="1">
        <v>1</v>
      </c>
      <c r="I145" s="1">
        <v>2018</v>
      </c>
      <c r="J145" s="1">
        <v>4</v>
      </c>
      <c r="K145" s="1" t="s">
        <v>0</v>
      </c>
      <c r="L145" s="1">
        <v>2</v>
      </c>
      <c r="M145" s="1">
        <v>30</v>
      </c>
      <c r="N145" s="1">
        <v>0</v>
      </c>
      <c r="O145" s="1">
        <v>43537.813460648147</v>
      </c>
      <c r="P145" s="1">
        <v>47167618</v>
      </c>
      <c r="Q145" s="1">
        <v>37029461</v>
      </c>
      <c r="R145" s="2">
        <v>10138157</v>
      </c>
      <c r="S145" s="2">
        <v>0</v>
      </c>
      <c r="T145" s="1">
        <v>9874877</v>
      </c>
      <c r="U145" s="1">
        <v>595479</v>
      </c>
      <c r="V145" s="1">
        <v>362340</v>
      </c>
      <c r="W145" s="1">
        <v>8917058</v>
      </c>
      <c r="X145" s="1"/>
      <c r="Y145" s="1">
        <v>2849</v>
      </c>
      <c r="Z145" s="1">
        <v>266129</v>
      </c>
      <c r="AA145" s="1">
        <v>0</v>
      </c>
      <c r="AB145" s="1">
        <v>11262</v>
      </c>
      <c r="AC145" s="1"/>
      <c r="AD145" s="1"/>
      <c r="AE145" s="1"/>
      <c r="AF145" s="1">
        <v>11170</v>
      </c>
      <c r="AG145" s="1">
        <v>92</v>
      </c>
      <c r="AH145" s="1">
        <v>213223</v>
      </c>
      <c r="AI145" s="1">
        <v>213223</v>
      </c>
      <c r="AJ145" s="1"/>
      <c r="AK145" s="1"/>
      <c r="AL145" s="1"/>
      <c r="AM145" s="1">
        <v>64168</v>
      </c>
      <c r="AN145" s="1">
        <v>0</v>
      </c>
      <c r="AO145" s="1"/>
      <c r="AP145" s="1"/>
      <c r="AQ145" s="1">
        <v>64168</v>
      </c>
      <c r="AR145" s="1">
        <v>0</v>
      </c>
      <c r="AS145" s="1"/>
      <c r="AT145" s="1">
        <v>20313</v>
      </c>
      <c r="AU145" s="1">
        <v>43855</v>
      </c>
      <c r="AV145" s="1">
        <v>0</v>
      </c>
    </row>
    <row r="146" spans="1:48" s="3" customFormat="1" ht="12" x14ac:dyDescent="0.2">
      <c r="A146" s="1">
        <v>20025</v>
      </c>
      <c r="B146" s="1">
        <v>0</v>
      </c>
      <c r="C146" s="1">
        <v>203422471</v>
      </c>
      <c r="D146" s="1" t="s">
        <v>152</v>
      </c>
      <c r="E146" s="1">
        <v>18</v>
      </c>
      <c r="F146" s="1">
        <v>11</v>
      </c>
      <c r="G146" s="1">
        <v>0</v>
      </c>
      <c r="H146" s="1">
        <v>1</v>
      </c>
      <c r="I146" s="1">
        <v>2021</v>
      </c>
      <c r="J146" s="1">
        <v>4</v>
      </c>
      <c r="K146" s="1" t="s">
        <v>0</v>
      </c>
      <c r="L146" s="1">
        <v>1</v>
      </c>
      <c r="M146" s="1">
        <v>30</v>
      </c>
      <c r="N146" s="1">
        <v>0</v>
      </c>
      <c r="O146" s="1">
        <v>44607.629131944443</v>
      </c>
      <c r="P146" s="1">
        <v>8735531.9000000004</v>
      </c>
      <c r="Q146" s="1">
        <v>5692246.5</v>
      </c>
      <c r="R146" s="1">
        <v>3043285.4</v>
      </c>
      <c r="S146" s="1">
        <v>0</v>
      </c>
      <c r="T146" s="1">
        <v>3059033</v>
      </c>
      <c r="U146" s="1">
        <v>15207.2</v>
      </c>
      <c r="V146" s="1">
        <v>999514.3</v>
      </c>
      <c r="W146" s="1">
        <v>2044311.5</v>
      </c>
      <c r="X146" s="1"/>
      <c r="Y146" s="1">
        <v>3076061.1</v>
      </c>
      <c r="Z146" s="1">
        <v>3060313.5</v>
      </c>
      <c r="AA146" s="1">
        <v>0</v>
      </c>
      <c r="AB146" s="1">
        <v>240446.1</v>
      </c>
      <c r="AC146" s="1"/>
      <c r="AD146" s="1"/>
      <c r="AE146" s="1"/>
      <c r="AF146" s="1">
        <v>240446.1</v>
      </c>
      <c r="AG146" s="1"/>
      <c r="AH146" s="1">
        <v>2940549.9</v>
      </c>
      <c r="AI146" s="1">
        <v>1975435.7</v>
      </c>
      <c r="AJ146" s="1"/>
      <c r="AK146" s="1">
        <v>312059.09999999998</v>
      </c>
      <c r="AL146" s="1">
        <v>653055.1</v>
      </c>
      <c r="AM146" s="1">
        <v>360209.7</v>
      </c>
      <c r="AN146" s="1">
        <v>0</v>
      </c>
      <c r="AO146" s="1"/>
      <c r="AP146" s="1">
        <v>206000</v>
      </c>
      <c r="AQ146" s="1">
        <v>154209.70000000001</v>
      </c>
      <c r="AR146" s="1">
        <v>0</v>
      </c>
      <c r="AS146" s="1">
        <v>18505.2</v>
      </c>
      <c r="AT146" s="1"/>
      <c r="AU146" s="1">
        <v>135704.5</v>
      </c>
      <c r="AV146" s="1">
        <v>0</v>
      </c>
    </row>
    <row r="147" spans="1:48" s="3" customFormat="1" ht="12" x14ac:dyDescent="0.2">
      <c r="A147" s="1">
        <v>20025</v>
      </c>
      <c r="B147" s="1">
        <v>0</v>
      </c>
      <c r="C147" s="1">
        <v>203422471</v>
      </c>
      <c r="D147" s="1" t="s">
        <v>152</v>
      </c>
      <c r="E147" s="1">
        <v>18</v>
      </c>
      <c r="F147" s="1">
        <v>11</v>
      </c>
      <c r="G147" s="1">
        <v>0</v>
      </c>
      <c r="H147" s="1">
        <v>1</v>
      </c>
      <c r="I147" s="1">
        <v>2020</v>
      </c>
      <c r="J147" s="1">
        <v>4</v>
      </c>
      <c r="K147" s="1" t="s">
        <v>0</v>
      </c>
      <c r="L147" s="1">
        <v>1</v>
      </c>
      <c r="M147" s="1">
        <v>30</v>
      </c>
      <c r="N147" s="1">
        <v>0</v>
      </c>
      <c r="O147" s="1">
        <v>44242.775648148148</v>
      </c>
      <c r="P147" s="1">
        <v>15037701.24</v>
      </c>
      <c r="Q147" s="1">
        <v>10708526.109999999</v>
      </c>
      <c r="R147" s="1">
        <v>4329175.13</v>
      </c>
      <c r="S147" s="1">
        <v>0</v>
      </c>
      <c r="T147" s="1">
        <v>1609470.93</v>
      </c>
      <c r="U147" s="1">
        <v>52082.39</v>
      </c>
      <c r="V147" s="1">
        <v>910273.78</v>
      </c>
      <c r="W147" s="1">
        <v>647114.76</v>
      </c>
      <c r="X147" s="1"/>
      <c r="Y147" s="1">
        <v>65311.67</v>
      </c>
      <c r="Z147" s="1">
        <v>2785015.87</v>
      </c>
      <c r="AA147" s="1">
        <v>0</v>
      </c>
      <c r="AB147" s="1">
        <v>1205998.6499999999</v>
      </c>
      <c r="AC147" s="1"/>
      <c r="AD147" s="1"/>
      <c r="AE147" s="1"/>
      <c r="AF147" s="1">
        <v>1205998.6499999999</v>
      </c>
      <c r="AG147" s="1"/>
      <c r="AH147" s="1">
        <v>3460670.65</v>
      </c>
      <c r="AI147" s="1">
        <v>689402.44</v>
      </c>
      <c r="AJ147" s="1"/>
      <c r="AK147" s="1">
        <v>1232056.67</v>
      </c>
      <c r="AL147" s="1">
        <v>1539211.54</v>
      </c>
      <c r="AM147" s="1">
        <v>530343.87</v>
      </c>
      <c r="AN147" s="1">
        <v>0</v>
      </c>
      <c r="AO147" s="1"/>
      <c r="AP147" s="1">
        <v>153860.51</v>
      </c>
      <c r="AQ147" s="1">
        <v>376483.36</v>
      </c>
      <c r="AR147" s="1">
        <v>0</v>
      </c>
      <c r="AS147" s="1"/>
      <c r="AT147" s="1"/>
      <c r="AU147" s="1">
        <v>376483.36</v>
      </c>
      <c r="AV147" s="1">
        <v>0</v>
      </c>
    </row>
    <row r="148" spans="1:48" s="3" customFormat="1" ht="12" x14ac:dyDescent="0.2">
      <c r="A148" s="1">
        <v>20025</v>
      </c>
      <c r="B148" s="1">
        <v>0</v>
      </c>
      <c r="C148" s="1">
        <v>203422471</v>
      </c>
      <c r="D148" s="1" t="s">
        <v>152</v>
      </c>
      <c r="E148" s="1">
        <v>18</v>
      </c>
      <c r="F148" s="1">
        <v>11</v>
      </c>
      <c r="G148" s="1">
        <v>0</v>
      </c>
      <c r="H148" s="1">
        <v>1</v>
      </c>
      <c r="I148" s="1">
        <v>2019</v>
      </c>
      <c r="J148" s="1">
        <v>4</v>
      </c>
      <c r="K148" s="1" t="s">
        <v>0</v>
      </c>
      <c r="L148" s="1">
        <v>2</v>
      </c>
      <c r="M148" s="1">
        <v>30</v>
      </c>
      <c r="N148" s="1">
        <v>0</v>
      </c>
      <c r="O148" s="1">
        <v>44113.65253472222</v>
      </c>
      <c r="P148" s="1">
        <v>10062124.470000001</v>
      </c>
      <c r="Q148" s="1">
        <v>6652228.96</v>
      </c>
      <c r="R148" s="1">
        <v>3409895.51</v>
      </c>
      <c r="S148" s="1">
        <v>0</v>
      </c>
      <c r="T148" s="1">
        <v>1309860.02</v>
      </c>
      <c r="U148" s="1">
        <v>491352.08</v>
      </c>
      <c r="V148" s="1">
        <v>572509.59</v>
      </c>
      <c r="W148" s="1">
        <v>245998.35</v>
      </c>
      <c r="X148" s="1"/>
      <c r="Y148" s="1">
        <v>487639.95</v>
      </c>
      <c r="Z148" s="1">
        <v>2587675.44</v>
      </c>
      <c r="AA148" s="1">
        <v>0</v>
      </c>
      <c r="AB148" s="1">
        <v>966386.67</v>
      </c>
      <c r="AC148" s="1"/>
      <c r="AD148" s="1"/>
      <c r="AE148" s="1"/>
      <c r="AF148" s="1">
        <v>920278.67</v>
      </c>
      <c r="AG148" s="1">
        <v>46108</v>
      </c>
      <c r="AH148" s="1">
        <v>1366740.76</v>
      </c>
      <c r="AI148" s="1">
        <v>181395.26</v>
      </c>
      <c r="AJ148" s="1"/>
      <c r="AK148" s="1">
        <v>777958.81</v>
      </c>
      <c r="AL148" s="1">
        <v>407386.69</v>
      </c>
      <c r="AM148" s="1">
        <v>2187321.35</v>
      </c>
      <c r="AN148" s="1">
        <v>0</v>
      </c>
      <c r="AO148" s="1"/>
      <c r="AP148" s="1"/>
      <c r="AQ148" s="1">
        <v>2187321.35</v>
      </c>
      <c r="AR148" s="1">
        <v>0</v>
      </c>
      <c r="AS148" s="1">
        <v>38479.360000000001</v>
      </c>
      <c r="AT148" s="1"/>
      <c r="AU148" s="1">
        <v>2148841.9900000002</v>
      </c>
      <c r="AV148" s="1">
        <v>0</v>
      </c>
    </row>
    <row r="149" spans="1:48" s="3" customFormat="1" ht="12" x14ac:dyDescent="0.2">
      <c r="A149" s="1">
        <v>20025</v>
      </c>
      <c r="B149" s="1">
        <v>0</v>
      </c>
      <c r="C149" s="7">
        <v>203422471</v>
      </c>
      <c r="D149" s="1" t="s">
        <v>152</v>
      </c>
      <c r="E149" s="1">
        <v>18</v>
      </c>
      <c r="F149" s="1">
        <v>11</v>
      </c>
      <c r="G149" s="1">
        <v>0</v>
      </c>
      <c r="H149" s="1">
        <v>1</v>
      </c>
      <c r="I149" s="1">
        <v>2018</v>
      </c>
      <c r="J149" s="1">
        <v>4</v>
      </c>
      <c r="K149" s="1" t="s">
        <v>0</v>
      </c>
      <c r="L149" s="1">
        <v>2</v>
      </c>
      <c r="M149" s="1">
        <v>30</v>
      </c>
      <c r="N149" s="1">
        <v>0</v>
      </c>
      <c r="O149" s="1">
        <v>43958.703530092593</v>
      </c>
      <c r="P149" s="1">
        <v>8239905.7000000002</v>
      </c>
      <c r="Q149" s="1">
        <v>4893555</v>
      </c>
      <c r="R149" s="2">
        <v>3346350.7</v>
      </c>
      <c r="S149" s="2">
        <v>0</v>
      </c>
      <c r="T149" s="1">
        <v>1389445.36</v>
      </c>
      <c r="U149" s="1">
        <v>447752.52</v>
      </c>
      <c r="V149" s="1">
        <v>440846.1</v>
      </c>
      <c r="W149" s="1">
        <v>500846.74</v>
      </c>
      <c r="X149" s="1"/>
      <c r="Y149" s="1">
        <v>621876.68999999994</v>
      </c>
      <c r="Z149" s="1">
        <v>2578782.0299999998</v>
      </c>
      <c r="AA149" s="1">
        <v>0</v>
      </c>
      <c r="AB149" s="1">
        <v>1769.34</v>
      </c>
      <c r="AC149" s="1"/>
      <c r="AD149" s="1"/>
      <c r="AE149" s="1"/>
      <c r="AF149" s="1">
        <v>1755.22</v>
      </c>
      <c r="AG149" s="1">
        <v>14.12</v>
      </c>
      <c r="AH149" s="1">
        <v>419201.21</v>
      </c>
      <c r="AI149" s="1">
        <v>204221.18</v>
      </c>
      <c r="AJ149" s="1"/>
      <c r="AK149" s="1">
        <v>2885.76</v>
      </c>
      <c r="AL149" s="1">
        <v>212094.27</v>
      </c>
      <c r="AM149" s="1">
        <v>2161350.16</v>
      </c>
      <c r="AN149" s="1">
        <v>0</v>
      </c>
      <c r="AO149" s="1"/>
      <c r="AP149" s="1"/>
      <c r="AQ149" s="1">
        <v>2161350.16</v>
      </c>
      <c r="AR149" s="1">
        <v>0</v>
      </c>
      <c r="AS149" s="1">
        <v>443177.59</v>
      </c>
      <c r="AT149" s="1"/>
      <c r="AU149" s="1">
        <v>1718172.57</v>
      </c>
      <c r="AV149" s="1">
        <v>0</v>
      </c>
    </row>
    <row r="150" spans="1:48" s="3" customFormat="1" ht="12" x14ac:dyDescent="0.2">
      <c r="A150" s="1">
        <v>20025</v>
      </c>
      <c r="B150" s="1">
        <v>0</v>
      </c>
      <c r="C150" s="1">
        <v>204651678</v>
      </c>
      <c r="D150" s="1" t="s">
        <v>153</v>
      </c>
      <c r="E150" s="1">
        <v>30</v>
      </c>
      <c r="F150" s="1">
        <v>3</v>
      </c>
      <c r="G150" s="1">
        <v>0</v>
      </c>
      <c r="H150" s="1">
        <v>1</v>
      </c>
      <c r="I150" s="1">
        <v>2021</v>
      </c>
      <c r="J150" s="1">
        <v>4</v>
      </c>
      <c r="K150" s="1" t="s">
        <v>0</v>
      </c>
      <c r="L150" s="1">
        <v>1</v>
      </c>
      <c r="M150" s="1">
        <v>30</v>
      </c>
      <c r="N150" s="1">
        <v>0</v>
      </c>
      <c r="O150" s="1">
        <v>44607.635439814818</v>
      </c>
      <c r="P150" s="1">
        <v>292634775</v>
      </c>
      <c r="Q150" s="1">
        <v>150671433</v>
      </c>
      <c r="R150" s="1">
        <v>141963342</v>
      </c>
      <c r="S150" s="1">
        <v>0</v>
      </c>
      <c r="T150" s="1">
        <v>62629448</v>
      </c>
      <c r="U150" s="1">
        <v>22436725</v>
      </c>
      <c r="V150" s="1">
        <v>11517028</v>
      </c>
      <c r="W150" s="1">
        <v>28675695</v>
      </c>
      <c r="X150" s="1"/>
      <c r="Y150" s="1">
        <v>774177</v>
      </c>
      <c r="Z150" s="1">
        <v>80108071</v>
      </c>
      <c r="AA150" s="1">
        <v>0</v>
      </c>
      <c r="AB150" s="1">
        <v>4570255</v>
      </c>
      <c r="AC150" s="1">
        <v>0</v>
      </c>
      <c r="AD150" s="1">
        <v>263836</v>
      </c>
      <c r="AE150" s="1"/>
      <c r="AF150" s="1">
        <v>4304045</v>
      </c>
      <c r="AG150" s="1">
        <v>2374</v>
      </c>
      <c r="AH150" s="1">
        <v>26100818</v>
      </c>
      <c r="AI150" s="1">
        <v>8785950</v>
      </c>
      <c r="AJ150" s="1"/>
      <c r="AK150" s="1">
        <v>17226846</v>
      </c>
      <c r="AL150" s="1">
        <v>88022</v>
      </c>
      <c r="AM150" s="1">
        <v>58577508</v>
      </c>
      <c r="AN150" s="1">
        <v>0</v>
      </c>
      <c r="AO150" s="1">
        <v>192911</v>
      </c>
      <c r="AP150" s="1"/>
      <c r="AQ150" s="1">
        <v>58770419</v>
      </c>
      <c r="AR150" s="1">
        <v>0</v>
      </c>
      <c r="AS150" s="1"/>
      <c r="AT150" s="1"/>
      <c r="AU150" s="1">
        <v>58770419</v>
      </c>
      <c r="AV150" s="1">
        <v>0</v>
      </c>
    </row>
    <row r="151" spans="1:48" s="3" customFormat="1" ht="12" x14ac:dyDescent="0.2">
      <c r="A151" s="1">
        <v>20025</v>
      </c>
      <c r="B151" s="1">
        <v>0</v>
      </c>
      <c r="C151" s="1">
        <v>204651678</v>
      </c>
      <c r="D151" s="1" t="s">
        <v>153</v>
      </c>
      <c r="E151" s="1">
        <v>30</v>
      </c>
      <c r="F151" s="1">
        <v>3</v>
      </c>
      <c r="G151" s="1">
        <v>0</v>
      </c>
      <c r="H151" s="1">
        <v>1</v>
      </c>
      <c r="I151" s="1">
        <v>2020</v>
      </c>
      <c r="J151" s="1">
        <v>4</v>
      </c>
      <c r="K151" s="1" t="s">
        <v>0</v>
      </c>
      <c r="L151" s="1">
        <v>2</v>
      </c>
      <c r="M151" s="1">
        <v>30</v>
      </c>
      <c r="N151" s="1">
        <v>0</v>
      </c>
      <c r="O151" s="1">
        <v>44314.675439814811</v>
      </c>
      <c r="P151" s="1">
        <v>3226018</v>
      </c>
      <c r="Q151" s="1">
        <v>1682868</v>
      </c>
      <c r="R151" s="1">
        <v>1543150</v>
      </c>
      <c r="S151" s="1">
        <v>0</v>
      </c>
      <c r="T151" s="1">
        <v>15311083</v>
      </c>
      <c r="U151" s="1">
        <v>2003810</v>
      </c>
      <c r="V151" s="1">
        <v>7778986</v>
      </c>
      <c r="W151" s="1">
        <v>5528287</v>
      </c>
      <c r="X151" s="1"/>
      <c r="Y151" s="1">
        <v>1686968</v>
      </c>
      <c r="Z151" s="1">
        <v>0</v>
      </c>
      <c r="AA151" s="1">
        <v>12080965</v>
      </c>
      <c r="AB151" s="1">
        <v>2736524</v>
      </c>
      <c r="AC151" s="1">
        <v>465</v>
      </c>
      <c r="AD151" s="1">
        <v>73762</v>
      </c>
      <c r="AE151" s="1"/>
      <c r="AF151" s="1">
        <v>2662297</v>
      </c>
      <c r="AG151" s="1"/>
      <c r="AH151" s="1">
        <v>15596578</v>
      </c>
      <c r="AI151" s="1"/>
      <c r="AJ151" s="1"/>
      <c r="AK151" s="1">
        <v>15509152</v>
      </c>
      <c r="AL151" s="1">
        <v>87426</v>
      </c>
      <c r="AM151" s="1">
        <v>0</v>
      </c>
      <c r="AN151" s="1">
        <v>24941019</v>
      </c>
      <c r="AO151" s="1"/>
      <c r="AP151" s="1"/>
      <c r="AQ151" s="1">
        <v>0</v>
      </c>
      <c r="AR151" s="1">
        <v>24941019</v>
      </c>
      <c r="AS151" s="1"/>
      <c r="AT151" s="1"/>
      <c r="AU151" s="1">
        <v>-24941019</v>
      </c>
      <c r="AV151" s="1">
        <v>24941019</v>
      </c>
    </row>
    <row r="152" spans="1:48" s="3" customFormat="1" ht="12" x14ac:dyDescent="0.2">
      <c r="A152" s="1">
        <v>20025</v>
      </c>
      <c r="B152" s="1">
        <v>0</v>
      </c>
      <c r="C152" s="1">
        <v>204651678</v>
      </c>
      <c r="D152" s="1" t="s">
        <v>153</v>
      </c>
      <c r="E152" s="1">
        <v>30</v>
      </c>
      <c r="F152" s="1">
        <v>3</v>
      </c>
      <c r="G152" s="1">
        <v>0</v>
      </c>
      <c r="H152" s="1">
        <v>1</v>
      </c>
      <c r="I152" s="1">
        <v>2019</v>
      </c>
      <c r="J152" s="1">
        <v>4</v>
      </c>
      <c r="K152" s="1" t="s">
        <v>0</v>
      </c>
      <c r="L152" s="1">
        <v>1</v>
      </c>
      <c r="M152" s="1">
        <v>30</v>
      </c>
      <c r="N152" s="1">
        <v>0</v>
      </c>
      <c r="O152" s="1">
        <v>43869.399687500001</v>
      </c>
      <c r="P152" s="1">
        <v>63023420</v>
      </c>
      <c r="Q152" s="1">
        <v>44879561</v>
      </c>
      <c r="R152" s="1">
        <v>18143859</v>
      </c>
      <c r="S152" s="1">
        <v>0</v>
      </c>
      <c r="T152" s="1">
        <v>15181854</v>
      </c>
      <c r="U152" s="1">
        <v>1900592</v>
      </c>
      <c r="V152" s="1">
        <v>3837569</v>
      </c>
      <c r="W152" s="1">
        <v>9443693</v>
      </c>
      <c r="X152" s="1"/>
      <c r="Y152" s="1">
        <v>1102861</v>
      </c>
      <c r="Z152" s="1">
        <v>4064866</v>
      </c>
      <c r="AA152" s="1">
        <v>0</v>
      </c>
      <c r="AB152" s="1">
        <v>536024</v>
      </c>
      <c r="AC152" s="1">
        <v>201</v>
      </c>
      <c r="AD152" s="1"/>
      <c r="AE152" s="1"/>
      <c r="AF152" s="1">
        <v>535823</v>
      </c>
      <c r="AG152" s="1"/>
      <c r="AH152" s="1">
        <v>5940818</v>
      </c>
      <c r="AI152" s="1"/>
      <c r="AJ152" s="1"/>
      <c r="AK152" s="1">
        <v>5924291</v>
      </c>
      <c r="AL152" s="1">
        <v>16527</v>
      </c>
      <c r="AM152" s="1">
        <v>0</v>
      </c>
      <c r="AN152" s="1">
        <v>1339928</v>
      </c>
      <c r="AO152" s="1"/>
      <c r="AP152" s="1"/>
      <c r="AQ152" s="1">
        <v>0</v>
      </c>
      <c r="AR152" s="1">
        <v>1339928</v>
      </c>
      <c r="AS152" s="1">
        <v>0</v>
      </c>
      <c r="AT152" s="1">
        <v>0</v>
      </c>
      <c r="AU152" s="1">
        <v>-1339928</v>
      </c>
      <c r="AV152" s="1">
        <v>1339928</v>
      </c>
    </row>
    <row r="153" spans="1:48" s="3" customFormat="1" ht="12" x14ac:dyDescent="0.2">
      <c r="A153" s="1">
        <v>20025</v>
      </c>
      <c r="B153" s="1">
        <v>0</v>
      </c>
      <c r="C153" s="7">
        <v>204651678</v>
      </c>
      <c r="D153" s="1" t="s">
        <v>153</v>
      </c>
      <c r="E153" s="1">
        <v>30</v>
      </c>
      <c r="F153" s="1">
        <v>3</v>
      </c>
      <c r="G153" s="1">
        <v>0</v>
      </c>
      <c r="H153" s="1">
        <v>1</v>
      </c>
      <c r="I153" s="1">
        <v>2018</v>
      </c>
      <c r="J153" s="1">
        <v>4</v>
      </c>
      <c r="K153" s="1" t="s">
        <v>0</v>
      </c>
      <c r="L153" s="1">
        <v>1</v>
      </c>
      <c r="M153" s="1">
        <v>30</v>
      </c>
      <c r="N153" s="1">
        <v>0</v>
      </c>
      <c r="O153" s="1">
        <v>43510.663275462961</v>
      </c>
      <c r="P153" s="1">
        <v>67381010</v>
      </c>
      <c r="Q153" s="1">
        <v>52370432</v>
      </c>
      <c r="R153" s="2">
        <v>15010578</v>
      </c>
      <c r="S153" s="2">
        <v>0</v>
      </c>
      <c r="T153" s="1">
        <v>11704850</v>
      </c>
      <c r="U153" s="1">
        <v>1044396</v>
      </c>
      <c r="V153" s="1">
        <v>1487056</v>
      </c>
      <c r="W153" s="1">
        <v>9173398</v>
      </c>
      <c r="X153" s="1"/>
      <c r="Y153" s="1">
        <v>293820</v>
      </c>
      <c r="Z153" s="1">
        <v>3599548</v>
      </c>
      <c r="AA153" s="1">
        <v>0</v>
      </c>
      <c r="AB153" s="1">
        <v>28870</v>
      </c>
      <c r="AC153" s="1">
        <v>115</v>
      </c>
      <c r="AD153" s="1"/>
      <c r="AE153" s="1"/>
      <c r="AF153" s="1">
        <v>28755</v>
      </c>
      <c r="AG153" s="1"/>
      <c r="AH153" s="1">
        <v>2755091</v>
      </c>
      <c r="AI153" s="1"/>
      <c r="AJ153" s="1"/>
      <c r="AK153" s="1">
        <v>2744195</v>
      </c>
      <c r="AL153" s="1">
        <v>10896</v>
      </c>
      <c r="AM153" s="1">
        <v>873327</v>
      </c>
      <c r="AN153" s="1">
        <v>0</v>
      </c>
      <c r="AO153" s="1"/>
      <c r="AP153" s="1"/>
      <c r="AQ153" s="1">
        <v>873327</v>
      </c>
      <c r="AR153" s="1">
        <v>0</v>
      </c>
      <c r="AS153" s="1">
        <v>367173</v>
      </c>
      <c r="AT153" s="1"/>
      <c r="AU153" s="1">
        <v>506154</v>
      </c>
      <c r="AV153" s="1">
        <v>0</v>
      </c>
    </row>
    <row r="154" spans="1:48" x14ac:dyDescent="0.25">
      <c r="A154" s="1">
        <v>20025</v>
      </c>
      <c r="B154" s="1">
        <v>0</v>
      </c>
      <c r="C154" s="1">
        <v>200125756</v>
      </c>
      <c r="D154" s="1" t="s">
        <v>154</v>
      </c>
      <c r="E154" s="1">
        <v>30</v>
      </c>
      <c r="F154" s="1">
        <v>11</v>
      </c>
      <c r="G154" s="1">
        <v>0</v>
      </c>
      <c r="H154" s="1">
        <v>1</v>
      </c>
      <c r="I154" s="1">
        <v>2021</v>
      </c>
      <c r="J154" s="1">
        <v>4</v>
      </c>
      <c r="K154" s="1" t="s">
        <v>0</v>
      </c>
      <c r="L154" s="1">
        <v>2</v>
      </c>
      <c r="M154" s="1">
        <v>30</v>
      </c>
      <c r="N154" s="1">
        <v>0</v>
      </c>
      <c r="O154" s="1">
        <v>44639.663576388892</v>
      </c>
      <c r="P154" s="1">
        <v>73906559.200000003</v>
      </c>
      <c r="Q154" s="1">
        <v>65405759</v>
      </c>
      <c r="R154" s="1">
        <v>8500800.1999999993</v>
      </c>
      <c r="S154" s="1">
        <v>0</v>
      </c>
      <c r="T154" s="1">
        <v>8550538.6999999993</v>
      </c>
      <c r="U154" s="1">
        <v>48834.8</v>
      </c>
      <c r="V154" s="1">
        <v>2314470.5</v>
      </c>
      <c r="W154" s="1">
        <v>6187233.4000000004</v>
      </c>
      <c r="X154" s="1"/>
      <c r="Y154" s="1">
        <v>1348308.8</v>
      </c>
      <c r="Z154" s="1">
        <v>1298570.3</v>
      </c>
      <c r="AA154" s="1">
        <v>0</v>
      </c>
      <c r="AB154" s="1"/>
      <c r="AC154" s="1"/>
      <c r="AD154" s="1"/>
      <c r="AE154" s="1"/>
      <c r="AF154" s="1"/>
      <c r="AG154" s="1"/>
      <c r="AH154" s="1">
        <v>37231</v>
      </c>
      <c r="AI154" s="1">
        <v>34383.5</v>
      </c>
      <c r="AJ154" s="1"/>
      <c r="AK154" s="1">
        <v>2847.5</v>
      </c>
      <c r="AL154" s="1"/>
      <c r="AM154" s="1">
        <v>1261339.3</v>
      </c>
      <c r="AN154" s="1">
        <v>0</v>
      </c>
      <c r="AO154" s="1"/>
      <c r="AP154" s="1"/>
      <c r="AQ154" s="1">
        <v>1261339.3</v>
      </c>
      <c r="AR154" s="1">
        <v>0</v>
      </c>
      <c r="AS154" s="1">
        <v>742746.5</v>
      </c>
      <c r="AT154" s="1"/>
      <c r="AU154" s="1">
        <v>518592.8</v>
      </c>
      <c r="AV154" s="1">
        <v>0</v>
      </c>
    </row>
    <row r="155" spans="1:48" x14ac:dyDescent="0.25">
      <c r="A155" s="1">
        <v>20025</v>
      </c>
      <c r="B155" s="1">
        <v>0</v>
      </c>
      <c r="C155" s="1">
        <v>200125756</v>
      </c>
      <c r="D155" s="1" t="s">
        <v>154</v>
      </c>
      <c r="E155" s="1">
        <v>30</v>
      </c>
      <c r="F155" s="1">
        <v>11</v>
      </c>
      <c r="G155" s="1">
        <v>0</v>
      </c>
      <c r="H155" s="1">
        <v>1</v>
      </c>
      <c r="I155" s="1">
        <v>2020</v>
      </c>
      <c r="J155" s="1">
        <v>4</v>
      </c>
      <c r="K155" s="1" t="s">
        <v>0</v>
      </c>
      <c r="L155" s="1">
        <v>1</v>
      </c>
      <c r="M155" s="1">
        <v>30</v>
      </c>
      <c r="N155" s="1">
        <v>0</v>
      </c>
      <c r="O155" s="1">
        <v>44235.467372685183</v>
      </c>
      <c r="P155" s="1">
        <v>81689866</v>
      </c>
      <c r="Q155" s="1">
        <v>65881262</v>
      </c>
      <c r="R155" s="1">
        <v>15808604</v>
      </c>
      <c r="S155" s="1">
        <v>0</v>
      </c>
      <c r="T155" s="1">
        <v>9861954</v>
      </c>
      <c r="U155" s="1">
        <v>108112</v>
      </c>
      <c r="V155" s="1">
        <v>2297940</v>
      </c>
      <c r="W155" s="1">
        <v>7126751</v>
      </c>
      <c r="X155" s="1">
        <v>329151</v>
      </c>
      <c r="Y155" s="1">
        <v>2270385</v>
      </c>
      <c r="Z155" s="1">
        <v>8217035</v>
      </c>
      <c r="AA155" s="1">
        <v>0</v>
      </c>
      <c r="AB155" s="1"/>
      <c r="AC155" s="1"/>
      <c r="AD155" s="1"/>
      <c r="AE155" s="1"/>
      <c r="AF155" s="1"/>
      <c r="AG155" s="1"/>
      <c r="AH155" s="1">
        <v>58948</v>
      </c>
      <c r="AI155" s="1">
        <v>58948</v>
      </c>
      <c r="AJ155" s="1"/>
      <c r="AK155" s="1"/>
      <c r="AL155" s="1"/>
      <c r="AM155" s="1">
        <v>8158087</v>
      </c>
      <c r="AN155" s="1">
        <v>0</v>
      </c>
      <c r="AO155" s="1"/>
      <c r="AP155" s="1"/>
      <c r="AQ155" s="1">
        <v>8158087</v>
      </c>
      <c r="AR155" s="1">
        <v>0</v>
      </c>
      <c r="AS155" s="1">
        <v>1593384</v>
      </c>
      <c r="AT155" s="1"/>
      <c r="AU155" s="1">
        <v>6564703</v>
      </c>
      <c r="AV155" s="1">
        <v>0</v>
      </c>
    </row>
    <row r="156" spans="1:48" x14ac:dyDescent="0.25">
      <c r="A156" s="1">
        <v>20025</v>
      </c>
      <c r="B156" s="1">
        <v>0</v>
      </c>
      <c r="C156" s="1">
        <v>200125756</v>
      </c>
      <c r="D156" s="1" t="s">
        <v>154</v>
      </c>
      <c r="E156" s="1">
        <v>30</v>
      </c>
      <c r="F156" s="1">
        <v>11</v>
      </c>
      <c r="G156" s="1">
        <v>0</v>
      </c>
      <c r="H156" s="1">
        <v>1</v>
      </c>
      <c r="I156" s="1">
        <v>2019</v>
      </c>
      <c r="J156" s="1">
        <v>4</v>
      </c>
      <c r="K156" s="1" t="s">
        <v>0</v>
      </c>
      <c r="L156" s="1">
        <v>1</v>
      </c>
      <c r="M156" s="1">
        <v>30</v>
      </c>
      <c r="N156" s="1">
        <v>0</v>
      </c>
      <c r="O156" s="1">
        <v>43875.636967592596</v>
      </c>
      <c r="P156" s="1">
        <v>68652062</v>
      </c>
      <c r="Q156" s="1">
        <v>53697395</v>
      </c>
      <c r="R156" s="1">
        <v>14954667</v>
      </c>
      <c r="S156" s="1">
        <v>0</v>
      </c>
      <c r="T156" s="1">
        <v>8445988</v>
      </c>
      <c r="U156" s="1">
        <v>568183</v>
      </c>
      <c r="V156" s="1">
        <v>1901649</v>
      </c>
      <c r="W156" s="1">
        <v>5976156</v>
      </c>
      <c r="X156" s="1"/>
      <c r="Y156" s="1">
        <v>544727</v>
      </c>
      <c r="Z156" s="1">
        <v>7053406</v>
      </c>
      <c r="AA156" s="1">
        <v>0</v>
      </c>
      <c r="AB156" s="1">
        <v>15873</v>
      </c>
      <c r="AC156" s="1"/>
      <c r="AD156" s="1">
        <v>15873</v>
      </c>
      <c r="AE156" s="1"/>
      <c r="AF156" s="1"/>
      <c r="AG156" s="1"/>
      <c r="AH156" s="1">
        <v>253452</v>
      </c>
      <c r="AI156" s="1">
        <v>253452</v>
      </c>
      <c r="AJ156" s="1"/>
      <c r="AK156" s="1"/>
      <c r="AL156" s="1"/>
      <c r="AM156" s="1">
        <v>6815827</v>
      </c>
      <c r="AN156" s="1">
        <v>0</v>
      </c>
      <c r="AO156" s="1"/>
      <c r="AP156" s="1"/>
      <c r="AQ156" s="1">
        <v>6815827</v>
      </c>
      <c r="AR156" s="1">
        <v>0</v>
      </c>
      <c r="AS156" s="1">
        <v>1052929</v>
      </c>
      <c r="AT156" s="1"/>
      <c r="AU156" s="1">
        <v>5762898</v>
      </c>
      <c r="AV156" s="1">
        <v>0</v>
      </c>
    </row>
    <row r="157" spans="1:48" x14ac:dyDescent="0.25">
      <c r="A157" s="1">
        <v>20025</v>
      </c>
      <c r="B157" s="1">
        <v>0</v>
      </c>
      <c r="C157" s="7">
        <v>200125756</v>
      </c>
      <c r="D157" s="1" t="s">
        <v>154</v>
      </c>
      <c r="E157" s="1">
        <v>30</v>
      </c>
      <c r="F157" s="1">
        <v>11</v>
      </c>
      <c r="G157" s="1">
        <v>0</v>
      </c>
      <c r="H157" s="1">
        <v>1</v>
      </c>
      <c r="I157" s="1">
        <v>2018</v>
      </c>
      <c r="J157" s="1">
        <v>4</v>
      </c>
      <c r="K157" s="1" t="s">
        <v>0</v>
      </c>
      <c r="L157" s="1">
        <v>2</v>
      </c>
      <c r="M157" s="1">
        <v>30</v>
      </c>
      <c r="N157" s="1">
        <v>0</v>
      </c>
      <c r="O157" s="1">
        <v>43565.70039351852</v>
      </c>
      <c r="P157" s="1">
        <v>42645546</v>
      </c>
      <c r="Q157" s="1">
        <v>36119679</v>
      </c>
      <c r="R157" s="2">
        <v>6525867</v>
      </c>
      <c r="S157" s="2">
        <v>0</v>
      </c>
      <c r="T157" s="1">
        <v>5278814</v>
      </c>
      <c r="U157" s="1">
        <v>194796</v>
      </c>
      <c r="V157" s="1">
        <v>347949</v>
      </c>
      <c r="W157" s="1">
        <v>4736069</v>
      </c>
      <c r="X157" s="1"/>
      <c r="Y157" s="1">
        <v>899744</v>
      </c>
      <c r="Z157" s="1">
        <v>2146797</v>
      </c>
      <c r="AA157" s="1">
        <v>0</v>
      </c>
      <c r="AB157" s="1">
        <v>4782</v>
      </c>
      <c r="AC157" s="1">
        <v>4782</v>
      </c>
      <c r="AD157" s="1"/>
      <c r="AE157" s="1"/>
      <c r="AF157" s="1"/>
      <c r="AG157" s="1"/>
      <c r="AH157" s="1">
        <v>81836</v>
      </c>
      <c r="AI157" s="1">
        <v>81836</v>
      </c>
      <c r="AJ157" s="1"/>
      <c r="AK157" s="1"/>
      <c r="AL157" s="1"/>
      <c r="AM157" s="1">
        <v>2069743</v>
      </c>
      <c r="AN157" s="1">
        <v>0</v>
      </c>
      <c r="AO157" s="1"/>
      <c r="AP157" s="1"/>
      <c r="AQ157" s="1">
        <v>2069743</v>
      </c>
      <c r="AR157" s="1">
        <v>0</v>
      </c>
      <c r="AS157" s="1">
        <v>400227</v>
      </c>
      <c r="AT157" s="1"/>
      <c r="AU157" s="1">
        <v>1669516</v>
      </c>
      <c r="AV157" s="1">
        <v>0</v>
      </c>
    </row>
    <row r="158" spans="1:48" x14ac:dyDescent="0.25">
      <c r="A158" s="1">
        <v>20025</v>
      </c>
      <c r="B158" s="1">
        <v>0</v>
      </c>
      <c r="C158" s="1">
        <v>200127136</v>
      </c>
      <c r="D158" s="1" t="s">
        <v>155</v>
      </c>
      <c r="E158" s="1">
        <v>30</v>
      </c>
      <c r="F158" s="1">
        <v>3</v>
      </c>
      <c r="G158" s="1">
        <v>0</v>
      </c>
      <c r="H158" s="1">
        <v>1</v>
      </c>
      <c r="I158" s="1">
        <v>2021</v>
      </c>
      <c r="J158" s="1">
        <v>4</v>
      </c>
      <c r="K158" s="1" t="s">
        <v>0</v>
      </c>
      <c r="L158" s="1">
        <v>2</v>
      </c>
      <c r="M158" s="1">
        <v>30</v>
      </c>
      <c r="N158" s="1">
        <v>0</v>
      </c>
      <c r="O158" s="1">
        <v>44720.791979166665</v>
      </c>
      <c r="P158" s="1">
        <v>20493664</v>
      </c>
      <c r="Q158" s="1">
        <v>19864613</v>
      </c>
      <c r="R158" s="1">
        <v>629051</v>
      </c>
      <c r="S158" s="1">
        <v>0</v>
      </c>
      <c r="T158" s="1">
        <v>2421863</v>
      </c>
      <c r="U158" s="1">
        <v>119954</v>
      </c>
      <c r="V158" s="1">
        <v>1059925</v>
      </c>
      <c r="W158" s="1">
        <v>1241984</v>
      </c>
      <c r="X158" s="1"/>
      <c r="Y158" s="1">
        <v>2447902</v>
      </c>
      <c r="Z158" s="1">
        <v>655090</v>
      </c>
      <c r="AA158" s="1">
        <v>0</v>
      </c>
      <c r="AB158" s="1">
        <v>34282</v>
      </c>
      <c r="AC158" s="1">
        <v>33485</v>
      </c>
      <c r="AD158" s="1">
        <v>797</v>
      </c>
      <c r="AE158" s="1"/>
      <c r="AF158" s="1"/>
      <c r="AG158" s="1"/>
      <c r="AH158" s="1">
        <v>22600</v>
      </c>
      <c r="AI158" s="1"/>
      <c r="AJ158" s="1"/>
      <c r="AK158" s="1"/>
      <c r="AL158" s="1">
        <v>22600</v>
      </c>
      <c r="AM158" s="1">
        <v>666772</v>
      </c>
      <c r="AN158" s="1">
        <v>0</v>
      </c>
      <c r="AO158" s="1"/>
      <c r="AP158" s="1"/>
      <c r="AQ158" s="1">
        <v>666772</v>
      </c>
      <c r="AR158" s="1">
        <v>0</v>
      </c>
      <c r="AS158" s="1">
        <v>191530</v>
      </c>
      <c r="AT158" s="1"/>
      <c r="AU158" s="1">
        <v>475242</v>
      </c>
      <c r="AV158" s="1">
        <v>0</v>
      </c>
    </row>
    <row r="159" spans="1:48" x14ac:dyDescent="0.25">
      <c r="A159" s="1">
        <v>20025</v>
      </c>
      <c r="B159" s="1">
        <v>0</v>
      </c>
      <c r="C159" s="1">
        <v>200127136</v>
      </c>
      <c r="D159" s="1" t="s">
        <v>155</v>
      </c>
      <c r="E159" s="1">
        <v>30</v>
      </c>
      <c r="F159" s="1">
        <v>3</v>
      </c>
      <c r="G159" s="1">
        <v>0</v>
      </c>
      <c r="H159" s="1">
        <v>1</v>
      </c>
      <c r="I159" s="1">
        <v>2020</v>
      </c>
      <c r="J159" s="1">
        <v>4</v>
      </c>
      <c r="K159" s="1" t="s">
        <v>0</v>
      </c>
      <c r="L159" s="1">
        <v>1</v>
      </c>
      <c r="M159" s="1">
        <v>30</v>
      </c>
      <c r="N159" s="1">
        <v>0</v>
      </c>
      <c r="O159" s="1">
        <v>44251.615081018521</v>
      </c>
      <c r="P159" s="1">
        <v>12644576</v>
      </c>
      <c r="Q159" s="1">
        <v>11876537</v>
      </c>
      <c r="R159" s="1">
        <v>768039</v>
      </c>
      <c r="S159" s="1">
        <v>0</v>
      </c>
      <c r="T159" s="1">
        <v>3647355</v>
      </c>
      <c r="U159" s="1">
        <v>124506</v>
      </c>
      <c r="V159" s="1">
        <v>1544463</v>
      </c>
      <c r="W159" s="1">
        <v>1978386</v>
      </c>
      <c r="X159" s="1"/>
      <c r="Y159" s="1">
        <v>3188376</v>
      </c>
      <c r="Z159" s="1">
        <v>309060</v>
      </c>
      <c r="AA159" s="1">
        <v>0</v>
      </c>
      <c r="AB159" s="1">
        <v>45219</v>
      </c>
      <c r="AC159" s="1">
        <v>145</v>
      </c>
      <c r="AD159" s="1">
        <v>45068</v>
      </c>
      <c r="AE159" s="1"/>
      <c r="AF159" s="1">
        <v>6</v>
      </c>
      <c r="AG159" s="1"/>
      <c r="AH159" s="1">
        <v>932</v>
      </c>
      <c r="AI159" s="1">
        <v>932</v>
      </c>
      <c r="AJ159" s="1"/>
      <c r="AK159" s="1"/>
      <c r="AL159" s="1"/>
      <c r="AM159" s="1">
        <v>353347</v>
      </c>
      <c r="AN159" s="1">
        <v>0</v>
      </c>
      <c r="AO159" s="1"/>
      <c r="AP159" s="1"/>
      <c r="AQ159" s="1">
        <v>353347</v>
      </c>
      <c r="AR159" s="1">
        <v>0</v>
      </c>
      <c r="AS159" s="1">
        <v>63168</v>
      </c>
      <c r="AT159" s="1"/>
      <c r="AU159" s="1">
        <v>290179</v>
      </c>
      <c r="AV159" s="1">
        <v>0</v>
      </c>
    </row>
    <row r="160" spans="1:48" x14ac:dyDescent="0.25">
      <c r="A160" s="1">
        <v>20025</v>
      </c>
      <c r="B160" s="1">
        <v>0</v>
      </c>
      <c r="C160" s="1">
        <v>200127136</v>
      </c>
      <c r="D160" s="1" t="s">
        <v>155</v>
      </c>
      <c r="E160" s="1">
        <v>30</v>
      </c>
      <c r="F160" s="1">
        <v>3</v>
      </c>
      <c r="G160" s="1">
        <v>0</v>
      </c>
      <c r="H160" s="1">
        <v>1</v>
      </c>
      <c r="I160" s="1">
        <v>2019</v>
      </c>
      <c r="J160" s="1">
        <v>4</v>
      </c>
      <c r="K160" s="1" t="s">
        <v>0</v>
      </c>
      <c r="L160" s="1">
        <v>2</v>
      </c>
      <c r="M160" s="1">
        <v>30</v>
      </c>
      <c r="N160" s="1">
        <v>0</v>
      </c>
      <c r="O160" s="1">
        <v>43906.551261574074</v>
      </c>
      <c r="P160" s="1">
        <v>31584252.460000001</v>
      </c>
      <c r="Q160" s="1">
        <v>28149609.649999999</v>
      </c>
      <c r="R160" s="1">
        <v>3434642.81</v>
      </c>
      <c r="S160" s="1">
        <v>0</v>
      </c>
      <c r="T160" s="1">
        <v>5525155.2300000004</v>
      </c>
      <c r="U160" s="1">
        <v>202422.29</v>
      </c>
      <c r="V160" s="1">
        <v>2560856.94</v>
      </c>
      <c r="W160" s="1">
        <v>2761876</v>
      </c>
      <c r="X160" s="1"/>
      <c r="Y160" s="1">
        <v>1680361.28</v>
      </c>
      <c r="Z160" s="1">
        <v>0</v>
      </c>
      <c r="AA160" s="1">
        <v>410151.14</v>
      </c>
      <c r="AB160" s="1">
        <v>130476.68</v>
      </c>
      <c r="AC160" s="1">
        <v>34743.879999999997</v>
      </c>
      <c r="AD160" s="1">
        <v>6660.41</v>
      </c>
      <c r="AE160" s="1"/>
      <c r="AF160" s="1">
        <v>89072.39</v>
      </c>
      <c r="AG160" s="1"/>
      <c r="AH160" s="1">
        <v>7277480.7800000003</v>
      </c>
      <c r="AI160" s="1">
        <v>248989.9</v>
      </c>
      <c r="AJ160" s="1">
        <v>12154.06</v>
      </c>
      <c r="AK160" s="1">
        <v>7016336.8200000003</v>
      </c>
      <c r="AL160" s="1"/>
      <c r="AM160" s="1">
        <v>0</v>
      </c>
      <c r="AN160" s="1">
        <v>7557155.2400000002</v>
      </c>
      <c r="AO160" s="1"/>
      <c r="AP160" s="1"/>
      <c r="AQ160" s="1">
        <v>0</v>
      </c>
      <c r="AR160" s="1">
        <v>7557155.2400000002</v>
      </c>
      <c r="AS160" s="1"/>
      <c r="AT160" s="1"/>
      <c r="AU160" s="1">
        <v>-7557155.2400000002</v>
      </c>
      <c r="AV160" s="1">
        <v>7557155.2400000002</v>
      </c>
    </row>
    <row r="161" spans="1:48" x14ac:dyDescent="0.25">
      <c r="A161" s="1">
        <v>20025</v>
      </c>
      <c r="B161" s="1">
        <v>0</v>
      </c>
      <c r="C161" s="7">
        <v>200127136</v>
      </c>
      <c r="D161" s="1" t="s">
        <v>155</v>
      </c>
      <c r="E161" s="1">
        <v>30</v>
      </c>
      <c r="F161" s="1">
        <v>3</v>
      </c>
      <c r="G161" s="1">
        <v>0</v>
      </c>
      <c r="H161" s="1">
        <v>1</v>
      </c>
      <c r="I161" s="1">
        <v>2018</v>
      </c>
      <c r="J161" s="1">
        <v>4</v>
      </c>
      <c r="K161" s="1" t="s">
        <v>0</v>
      </c>
      <c r="L161" s="1">
        <v>2</v>
      </c>
      <c r="M161" s="1">
        <v>30</v>
      </c>
      <c r="N161" s="1">
        <v>0</v>
      </c>
      <c r="O161" s="1">
        <v>43511.702164351853</v>
      </c>
      <c r="P161" s="1">
        <v>80370802</v>
      </c>
      <c r="Q161" s="1">
        <v>66517261</v>
      </c>
      <c r="R161" s="2">
        <v>13853541</v>
      </c>
      <c r="S161" s="2">
        <v>0</v>
      </c>
      <c r="T161" s="1">
        <v>10961436.23</v>
      </c>
      <c r="U161" s="1">
        <v>306333.40000000002</v>
      </c>
      <c r="V161" s="1">
        <v>3087746.24</v>
      </c>
      <c r="W161" s="1">
        <v>7567356.5899999999</v>
      </c>
      <c r="X161" s="1"/>
      <c r="Y161" s="1">
        <v>3860106</v>
      </c>
      <c r="Z161" s="1">
        <v>6752210.7699999996</v>
      </c>
      <c r="AA161" s="1">
        <v>0</v>
      </c>
      <c r="AB161" s="1">
        <v>74586</v>
      </c>
      <c r="AC161" s="1">
        <v>32843</v>
      </c>
      <c r="AD161" s="1"/>
      <c r="AE161" s="1"/>
      <c r="AF161" s="1">
        <v>41743</v>
      </c>
      <c r="AG161" s="1"/>
      <c r="AH161" s="1">
        <v>39095</v>
      </c>
      <c r="AI161" s="1">
        <v>56</v>
      </c>
      <c r="AJ161" s="1">
        <v>15985</v>
      </c>
      <c r="AK161" s="1">
        <v>23054</v>
      </c>
      <c r="AL161" s="1"/>
      <c r="AM161" s="1">
        <v>6787701.7699999996</v>
      </c>
      <c r="AN161" s="1">
        <v>0</v>
      </c>
      <c r="AO161" s="1"/>
      <c r="AP161" s="1"/>
      <c r="AQ161" s="1">
        <v>6787701.7699999996</v>
      </c>
      <c r="AR161" s="1">
        <v>0</v>
      </c>
      <c r="AS161" s="1">
        <v>1033138.71</v>
      </c>
      <c r="AT161" s="1">
        <v>0</v>
      </c>
      <c r="AU161" s="1">
        <v>5754563.0599999996</v>
      </c>
      <c r="AV161" s="1">
        <v>0</v>
      </c>
    </row>
    <row r="162" spans="1:48" s="3" customFormat="1" ht="12" x14ac:dyDescent="0.2">
      <c r="A162" s="1">
        <v>20025</v>
      </c>
      <c r="B162" s="1">
        <v>0</v>
      </c>
      <c r="C162" s="1">
        <v>201157842</v>
      </c>
      <c r="D162" s="1" t="s">
        <v>164</v>
      </c>
      <c r="E162" s="1">
        <v>33</v>
      </c>
      <c r="F162" s="1">
        <v>8</v>
      </c>
      <c r="G162" s="1">
        <v>0</v>
      </c>
      <c r="H162" s="1">
        <v>1</v>
      </c>
      <c r="I162" s="1">
        <v>2021</v>
      </c>
      <c r="J162" s="1">
        <v>4</v>
      </c>
      <c r="K162" s="1" t="s">
        <v>0</v>
      </c>
      <c r="L162" s="1">
        <v>1</v>
      </c>
      <c r="M162" s="1">
        <v>30</v>
      </c>
      <c r="N162" s="1">
        <v>0</v>
      </c>
      <c r="O162" s="1">
        <v>44597.397928240738</v>
      </c>
      <c r="P162" s="1">
        <v>50448755</v>
      </c>
      <c r="Q162" s="1">
        <v>46715504</v>
      </c>
      <c r="R162" s="1">
        <v>3733251</v>
      </c>
      <c r="S162" s="1">
        <v>0</v>
      </c>
      <c r="T162" s="1">
        <v>2829971</v>
      </c>
      <c r="U162" s="1">
        <v>83345</v>
      </c>
      <c r="V162" s="1">
        <v>1279357</v>
      </c>
      <c r="W162" s="1">
        <v>1467269</v>
      </c>
      <c r="X162" s="1"/>
      <c r="Y162" s="1">
        <v>181771</v>
      </c>
      <c r="Z162" s="1">
        <v>1085051</v>
      </c>
      <c r="AA162" s="1">
        <v>0</v>
      </c>
      <c r="AB162" s="1">
        <v>1202261</v>
      </c>
      <c r="AC162" s="1"/>
      <c r="AD162" s="1"/>
      <c r="AE162" s="1"/>
      <c r="AF162" s="1"/>
      <c r="AG162" s="1">
        <v>1202261</v>
      </c>
      <c r="AH162" s="1">
        <v>2115245</v>
      </c>
      <c r="AI162" s="1">
        <v>2115245</v>
      </c>
      <c r="AJ162" s="1"/>
      <c r="AK162" s="1"/>
      <c r="AL162" s="1"/>
      <c r="AM162" s="1">
        <v>172067</v>
      </c>
      <c r="AN162" s="1">
        <v>0</v>
      </c>
      <c r="AO162" s="1"/>
      <c r="AP162" s="1"/>
      <c r="AQ162" s="1">
        <v>172067</v>
      </c>
      <c r="AR162" s="1">
        <v>0</v>
      </c>
      <c r="AS162" s="1">
        <v>42509</v>
      </c>
      <c r="AT162" s="1"/>
      <c r="AU162" s="1">
        <v>129558</v>
      </c>
      <c r="AV162" s="1">
        <v>0</v>
      </c>
    </row>
    <row r="163" spans="1:48" s="3" customFormat="1" ht="12.75" customHeight="1" x14ac:dyDescent="0.2">
      <c r="A163" s="1">
        <v>20025</v>
      </c>
      <c r="B163" s="1">
        <v>0</v>
      </c>
      <c r="C163" s="1">
        <v>201157842</v>
      </c>
      <c r="D163" s="1" t="s">
        <v>164</v>
      </c>
      <c r="E163" s="1">
        <v>33</v>
      </c>
      <c r="F163" s="1">
        <v>8</v>
      </c>
      <c r="G163" s="1">
        <v>0</v>
      </c>
      <c r="H163" s="1">
        <v>1</v>
      </c>
      <c r="I163" s="1">
        <v>2020</v>
      </c>
      <c r="J163" s="1">
        <v>4</v>
      </c>
      <c r="K163" s="1" t="s">
        <v>0</v>
      </c>
      <c r="L163" s="1">
        <v>2</v>
      </c>
      <c r="M163" s="1">
        <v>30</v>
      </c>
      <c r="N163" s="1">
        <v>0</v>
      </c>
      <c r="O163" s="1">
        <v>44264.401331018518</v>
      </c>
      <c r="P163" s="1">
        <v>60552433</v>
      </c>
      <c r="Q163" s="1">
        <v>52675083</v>
      </c>
      <c r="R163" s="1">
        <v>7877350</v>
      </c>
      <c r="S163" s="1">
        <v>0</v>
      </c>
      <c r="T163" s="1">
        <v>4051475</v>
      </c>
      <c r="U163" s="1">
        <v>137403</v>
      </c>
      <c r="V163" s="1">
        <v>1180124</v>
      </c>
      <c r="W163" s="1">
        <v>2733948</v>
      </c>
      <c r="X163" s="1"/>
      <c r="Y163" s="1">
        <v>129393</v>
      </c>
      <c r="Z163" s="1">
        <v>3955268</v>
      </c>
      <c r="AA163" s="1">
        <v>0</v>
      </c>
      <c r="AB163" s="1">
        <v>261212</v>
      </c>
      <c r="AC163" s="1"/>
      <c r="AD163" s="1"/>
      <c r="AE163" s="1"/>
      <c r="AF163" s="1"/>
      <c r="AG163" s="1">
        <v>261212</v>
      </c>
      <c r="AH163" s="1">
        <v>2509679</v>
      </c>
      <c r="AI163" s="1">
        <v>2507743</v>
      </c>
      <c r="AJ163" s="1">
        <v>1936</v>
      </c>
      <c r="AK163" s="1"/>
      <c r="AL163" s="1"/>
      <c r="AM163" s="1">
        <v>1706801</v>
      </c>
      <c r="AN163" s="1">
        <v>0</v>
      </c>
      <c r="AO163" s="1"/>
      <c r="AP163" s="1">
        <v>476824</v>
      </c>
      <c r="AQ163" s="1">
        <v>1229977</v>
      </c>
      <c r="AR163" s="1">
        <v>0</v>
      </c>
      <c r="AS163" s="1">
        <v>198091</v>
      </c>
      <c r="AT163" s="1"/>
      <c r="AU163" s="1">
        <v>1031886</v>
      </c>
      <c r="AV163" s="1">
        <v>0</v>
      </c>
    </row>
    <row r="164" spans="1:48" s="3" customFormat="1" ht="12" x14ac:dyDescent="0.2">
      <c r="A164" s="1">
        <v>20025</v>
      </c>
      <c r="B164" s="1">
        <v>0</v>
      </c>
      <c r="C164" s="1">
        <v>201157842</v>
      </c>
      <c r="D164" s="1" t="s">
        <v>164</v>
      </c>
      <c r="E164" s="1">
        <v>33</v>
      </c>
      <c r="F164" s="1">
        <v>8</v>
      </c>
      <c r="G164" s="1">
        <v>0</v>
      </c>
      <c r="H164" s="1">
        <v>1</v>
      </c>
      <c r="I164" s="1">
        <v>2019</v>
      </c>
      <c r="J164" s="1">
        <v>4</v>
      </c>
      <c r="K164" s="1" t="s">
        <v>0</v>
      </c>
      <c r="L164" s="1">
        <v>2</v>
      </c>
      <c r="M164" s="1">
        <v>30</v>
      </c>
      <c r="N164" s="1">
        <v>0</v>
      </c>
      <c r="O164" s="1">
        <v>44515.734988425924</v>
      </c>
      <c r="P164" s="1">
        <v>45273667</v>
      </c>
      <c r="Q164" s="1">
        <v>33834674</v>
      </c>
      <c r="R164" s="1">
        <v>11438993</v>
      </c>
      <c r="S164" s="1">
        <v>0</v>
      </c>
      <c r="T164" s="1">
        <v>7335568</v>
      </c>
      <c r="U164" s="1">
        <v>523033</v>
      </c>
      <c r="V164" s="1">
        <v>1335675</v>
      </c>
      <c r="W164" s="1">
        <v>5476860</v>
      </c>
      <c r="X164" s="1"/>
      <c r="Y164" s="1">
        <v>160859</v>
      </c>
      <c r="Z164" s="1">
        <v>4264284</v>
      </c>
      <c r="AA164" s="1">
        <v>0</v>
      </c>
      <c r="AB164" s="1">
        <v>20188</v>
      </c>
      <c r="AC164" s="1">
        <v>20188</v>
      </c>
      <c r="AD164" s="1"/>
      <c r="AE164" s="1"/>
      <c r="AF164" s="1"/>
      <c r="AG164" s="1"/>
      <c r="AH164" s="1">
        <v>2259168</v>
      </c>
      <c r="AI164" s="1">
        <v>2259168</v>
      </c>
      <c r="AJ164" s="1"/>
      <c r="AK164" s="1"/>
      <c r="AL164" s="1"/>
      <c r="AM164" s="1">
        <v>2025304</v>
      </c>
      <c r="AN164" s="1">
        <v>0</v>
      </c>
      <c r="AO164" s="1"/>
      <c r="AP164" s="1"/>
      <c r="AQ164" s="1">
        <v>2025304</v>
      </c>
      <c r="AR164" s="1">
        <v>0</v>
      </c>
      <c r="AS164" s="1">
        <v>264617</v>
      </c>
      <c r="AT164" s="1"/>
      <c r="AU164" s="1">
        <v>1760687</v>
      </c>
      <c r="AV164" s="1">
        <v>0</v>
      </c>
    </row>
    <row r="165" spans="1:48" s="3" customFormat="1" ht="12" x14ac:dyDescent="0.2">
      <c r="A165" s="1">
        <v>20025</v>
      </c>
      <c r="B165" s="1">
        <v>0</v>
      </c>
      <c r="C165" s="7">
        <v>201157842</v>
      </c>
      <c r="D165" s="1" t="s">
        <v>164</v>
      </c>
      <c r="E165" s="1">
        <v>33</v>
      </c>
      <c r="F165" s="1">
        <v>8</v>
      </c>
      <c r="G165" s="1">
        <v>0</v>
      </c>
      <c r="H165" s="1">
        <v>1</v>
      </c>
      <c r="I165" s="1">
        <v>2018</v>
      </c>
      <c r="J165" s="1">
        <v>4</v>
      </c>
      <c r="K165" s="1" t="s">
        <v>0</v>
      </c>
      <c r="L165" s="1">
        <v>1</v>
      </c>
      <c r="M165" s="1">
        <v>30</v>
      </c>
      <c r="N165" s="1">
        <v>0</v>
      </c>
      <c r="O165" s="1">
        <v>43511.401585648149</v>
      </c>
      <c r="P165" s="1">
        <v>36103578</v>
      </c>
      <c r="Q165" s="1">
        <v>30022413</v>
      </c>
      <c r="R165" s="2">
        <v>6081165</v>
      </c>
      <c r="S165" s="2">
        <v>0</v>
      </c>
      <c r="T165" s="1">
        <v>4026147</v>
      </c>
      <c r="U165" s="1">
        <v>95627</v>
      </c>
      <c r="V165" s="1">
        <v>621736</v>
      </c>
      <c r="W165" s="1">
        <v>3308784</v>
      </c>
      <c r="X165" s="1"/>
      <c r="Y165" s="1">
        <v>24424</v>
      </c>
      <c r="Z165" s="1">
        <v>2079442</v>
      </c>
      <c r="AA165" s="1">
        <v>0</v>
      </c>
      <c r="AB165" s="1">
        <v>339234</v>
      </c>
      <c r="AC165" s="1">
        <v>22191</v>
      </c>
      <c r="AD165" s="1"/>
      <c r="AE165" s="1"/>
      <c r="AF165" s="1"/>
      <c r="AG165" s="1">
        <v>317043</v>
      </c>
      <c r="AH165" s="1">
        <v>1484520</v>
      </c>
      <c r="AI165" s="1">
        <v>1484520</v>
      </c>
      <c r="AJ165" s="1"/>
      <c r="AK165" s="1"/>
      <c r="AL165" s="1"/>
      <c r="AM165" s="1">
        <v>934156</v>
      </c>
      <c r="AN165" s="1">
        <v>0</v>
      </c>
      <c r="AO165" s="1"/>
      <c r="AP165" s="1"/>
      <c r="AQ165" s="1">
        <v>934156</v>
      </c>
      <c r="AR165" s="1">
        <v>0</v>
      </c>
      <c r="AS165" s="1">
        <v>284428</v>
      </c>
      <c r="AT165" s="1"/>
      <c r="AU165" s="1">
        <v>649728</v>
      </c>
      <c r="AV165" s="1">
        <v>0</v>
      </c>
    </row>
    <row r="166" spans="1:48" s="3" customFormat="1" ht="12" x14ac:dyDescent="0.2">
      <c r="A166" s="1">
        <v>20025</v>
      </c>
      <c r="B166" s="1">
        <v>0</v>
      </c>
      <c r="C166" s="1">
        <v>300264462</v>
      </c>
      <c r="D166" s="1" t="s">
        <v>165</v>
      </c>
      <c r="E166" s="1">
        <v>26</v>
      </c>
      <c r="F166" s="1">
        <v>4</v>
      </c>
      <c r="G166" s="1">
        <v>0</v>
      </c>
      <c r="H166" s="1">
        <v>12</v>
      </c>
      <c r="I166" s="1">
        <v>2021</v>
      </c>
      <c r="J166" s="1">
        <v>4</v>
      </c>
      <c r="K166" s="1" t="s">
        <v>0</v>
      </c>
      <c r="L166" s="1">
        <v>1</v>
      </c>
      <c r="M166" s="1">
        <v>30</v>
      </c>
      <c r="N166" s="1">
        <v>0</v>
      </c>
      <c r="O166" s="1">
        <v>44585.643854166665</v>
      </c>
      <c r="P166" s="1">
        <v>7002463.96</v>
      </c>
      <c r="Q166" s="1">
        <v>6533063.2800000003</v>
      </c>
      <c r="R166" s="1">
        <v>469400.68</v>
      </c>
      <c r="S166" s="1">
        <v>0</v>
      </c>
      <c r="T166" s="1">
        <v>401588.91</v>
      </c>
      <c r="U166" s="1">
        <v>1063</v>
      </c>
      <c r="V166" s="1">
        <v>155598.68</v>
      </c>
      <c r="W166" s="1">
        <v>244927.23</v>
      </c>
      <c r="X166" s="1"/>
      <c r="Y166" s="1">
        <v>532544.35</v>
      </c>
      <c r="Z166" s="1">
        <v>600356.12</v>
      </c>
      <c r="AA166" s="1">
        <v>0</v>
      </c>
      <c r="AB166" s="1">
        <v>56206.13</v>
      </c>
      <c r="AC166" s="1"/>
      <c r="AD166" s="1"/>
      <c r="AE166" s="1"/>
      <c r="AF166" s="1">
        <v>56206.13</v>
      </c>
      <c r="AG166" s="1"/>
      <c r="AH166" s="1"/>
      <c r="AI166" s="1"/>
      <c r="AJ166" s="1"/>
      <c r="AK166" s="1"/>
      <c r="AL166" s="1"/>
      <c r="AM166" s="1">
        <v>656562.25</v>
      </c>
      <c r="AN166" s="1">
        <v>0</v>
      </c>
      <c r="AO166" s="1"/>
      <c r="AP166" s="1"/>
      <c r="AQ166" s="1">
        <v>656562.25</v>
      </c>
      <c r="AR166" s="1">
        <v>0</v>
      </c>
      <c r="AS166" s="1">
        <v>121503.82</v>
      </c>
      <c r="AT166" s="1"/>
      <c r="AU166" s="1">
        <v>535058.43000000005</v>
      </c>
      <c r="AV166" s="1">
        <v>0</v>
      </c>
    </row>
    <row r="167" spans="1:48" s="3" customFormat="1" ht="12" x14ac:dyDescent="0.2">
      <c r="A167" s="1">
        <v>20025</v>
      </c>
      <c r="B167" s="1">
        <v>0</v>
      </c>
      <c r="C167" s="1">
        <v>300264462</v>
      </c>
      <c r="D167" s="1" t="s">
        <v>165</v>
      </c>
      <c r="E167" s="1">
        <v>26</v>
      </c>
      <c r="F167" s="1">
        <v>4</v>
      </c>
      <c r="G167" s="1">
        <v>0</v>
      </c>
      <c r="H167" s="1">
        <v>12</v>
      </c>
      <c r="I167" s="1">
        <v>2020</v>
      </c>
      <c r="J167" s="1">
        <v>4</v>
      </c>
      <c r="K167" s="1" t="s">
        <v>0</v>
      </c>
      <c r="L167" s="1">
        <v>1</v>
      </c>
      <c r="M167" s="1">
        <v>30</v>
      </c>
      <c r="N167" s="1">
        <v>0</v>
      </c>
      <c r="O167" s="1">
        <v>44223.929803240739</v>
      </c>
      <c r="P167" s="1">
        <v>6906004.8799999999</v>
      </c>
      <c r="Q167" s="1">
        <v>6295656.71</v>
      </c>
      <c r="R167" s="1">
        <v>610348.17000000004</v>
      </c>
      <c r="S167" s="1">
        <v>0</v>
      </c>
      <c r="T167" s="1">
        <v>778527.62</v>
      </c>
      <c r="U167" s="1">
        <v>2943.77</v>
      </c>
      <c r="V167" s="1">
        <v>131406.22</v>
      </c>
      <c r="W167" s="1">
        <v>644177.63</v>
      </c>
      <c r="X167" s="1"/>
      <c r="Y167" s="1">
        <v>232969.74</v>
      </c>
      <c r="Z167" s="1">
        <v>64790.29</v>
      </c>
      <c r="AA167" s="1">
        <v>0</v>
      </c>
      <c r="AB167" s="1">
        <v>61451.95</v>
      </c>
      <c r="AC167" s="1"/>
      <c r="AD167" s="1"/>
      <c r="AE167" s="1"/>
      <c r="AF167" s="1">
        <v>61451.95</v>
      </c>
      <c r="AG167" s="1"/>
      <c r="AH167" s="1"/>
      <c r="AI167" s="1"/>
      <c r="AJ167" s="1"/>
      <c r="AK167" s="1"/>
      <c r="AL167" s="1"/>
      <c r="AM167" s="1">
        <v>126242.24000000001</v>
      </c>
      <c r="AN167" s="1">
        <v>0</v>
      </c>
      <c r="AO167" s="1"/>
      <c r="AP167" s="1"/>
      <c r="AQ167" s="1">
        <v>126242.24000000001</v>
      </c>
      <c r="AR167" s="1">
        <v>0</v>
      </c>
      <c r="AS167" s="1">
        <v>19393.12</v>
      </c>
      <c r="AT167" s="1"/>
      <c r="AU167" s="1">
        <v>106849.12</v>
      </c>
      <c r="AV167" s="1">
        <v>0</v>
      </c>
    </row>
    <row r="168" spans="1:48" s="3" customFormat="1" ht="12" x14ac:dyDescent="0.2">
      <c r="A168" s="1">
        <v>20025</v>
      </c>
      <c r="B168" s="1">
        <v>0</v>
      </c>
      <c r="C168" s="1">
        <v>300264462</v>
      </c>
      <c r="D168" s="1" t="s">
        <v>165</v>
      </c>
      <c r="E168" s="1">
        <v>26</v>
      </c>
      <c r="F168" s="1">
        <v>4</v>
      </c>
      <c r="G168" s="1">
        <v>0</v>
      </c>
      <c r="H168" s="1">
        <v>12</v>
      </c>
      <c r="I168" s="1">
        <v>2019</v>
      </c>
      <c r="J168" s="1">
        <v>4</v>
      </c>
      <c r="K168" s="1" t="s">
        <v>0</v>
      </c>
      <c r="L168" s="1">
        <v>2</v>
      </c>
      <c r="M168" s="1">
        <v>30</v>
      </c>
      <c r="N168" s="1">
        <v>0</v>
      </c>
      <c r="O168" s="1">
        <v>44107.755115740743</v>
      </c>
      <c r="P168" s="1">
        <v>8359420.7999999998</v>
      </c>
      <c r="Q168" s="1">
        <v>7502007.4000000004</v>
      </c>
      <c r="R168" s="1">
        <v>857413.4</v>
      </c>
      <c r="S168" s="1">
        <v>0</v>
      </c>
      <c r="T168" s="1">
        <v>1169914.5900000001</v>
      </c>
      <c r="U168" s="1">
        <v>184377.05</v>
      </c>
      <c r="V168" s="1">
        <v>186784.4</v>
      </c>
      <c r="W168" s="1">
        <v>798753.14</v>
      </c>
      <c r="X168" s="1"/>
      <c r="Y168" s="1">
        <v>39324.559999999998</v>
      </c>
      <c r="Z168" s="1">
        <v>0</v>
      </c>
      <c r="AA168" s="1">
        <v>273176.63</v>
      </c>
      <c r="AB168" s="1"/>
      <c r="AC168" s="1"/>
      <c r="AD168" s="1"/>
      <c r="AE168" s="1"/>
      <c r="AF168" s="1"/>
      <c r="AG168" s="1"/>
      <c r="AH168" s="1">
        <v>11144.29</v>
      </c>
      <c r="AI168" s="1"/>
      <c r="AJ168" s="1"/>
      <c r="AK168" s="1">
        <v>11144.29</v>
      </c>
      <c r="AL168" s="1"/>
      <c r="AM168" s="1">
        <v>0</v>
      </c>
      <c r="AN168" s="1">
        <v>284320.92</v>
      </c>
      <c r="AO168" s="1"/>
      <c r="AP168" s="1"/>
      <c r="AQ168" s="1">
        <v>0</v>
      </c>
      <c r="AR168" s="1">
        <v>284320.92</v>
      </c>
      <c r="AS168" s="1">
        <v>1764.73</v>
      </c>
      <c r="AT168" s="1"/>
      <c r="AU168" s="1">
        <v>0</v>
      </c>
      <c r="AV168" s="1">
        <v>286085.65000000002</v>
      </c>
    </row>
    <row r="169" spans="1:48" s="3" customFormat="1" ht="12" x14ac:dyDescent="0.2">
      <c r="A169" s="1">
        <v>20025</v>
      </c>
      <c r="B169" s="1">
        <v>0</v>
      </c>
      <c r="C169" s="7">
        <v>300264462</v>
      </c>
      <c r="D169" s="1" t="s">
        <v>165</v>
      </c>
      <c r="E169" s="1">
        <v>26</v>
      </c>
      <c r="F169" s="1">
        <v>4</v>
      </c>
      <c r="G169" s="1">
        <v>0</v>
      </c>
      <c r="H169" s="1">
        <v>12</v>
      </c>
      <c r="I169" s="1">
        <v>2018</v>
      </c>
      <c r="J169" s="1">
        <v>4</v>
      </c>
      <c r="K169" s="1" t="s">
        <v>0</v>
      </c>
      <c r="L169" s="1">
        <v>1</v>
      </c>
      <c r="M169" s="1">
        <v>30</v>
      </c>
      <c r="N169" s="1">
        <v>0</v>
      </c>
      <c r="O169" s="1">
        <v>43489.747893518521</v>
      </c>
      <c r="P169" s="1">
        <v>4623173.32</v>
      </c>
      <c r="Q169" s="1">
        <v>3174545.5</v>
      </c>
      <c r="R169" s="2">
        <v>1448627.82</v>
      </c>
      <c r="S169" s="2">
        <v>0</v>
      </c>
      <c r="T169" s="1">
        <v>328459.89</v>
      </c>
      <c r="U169" s="1">
        <v>0</v>
      </c>
      <c r="V169" s="1">
        <v>143540.60999999999</v>
      </c>
      <c r="W169" s="1">
        <v>184919.28</v>
      </c>
      <c r="X169" s="1"/>
      <c r="Y169" s="1">
        <v>8158.65</v>
      </c>
      <c r="Z169" s="1">
        <v>1128326.58</v>
      </c>
      <c r="AA169" s="1">
        <v>0</v>
      </c>
      <c r="AB169" s="1">
        <v>40025.68</v>
      </c>
      <c r="AC169" s="1"/>
      <c r="AD169" s="1"/>
      <c r="AE169" s="1"/>
      <c r="AF169" s="1">
        <v>40025.68</v>
      </c>
      <c r="AG169" s="1"/>
      <c r="AH169" s="1"/>
      <c r="AI169" s="1"/>
      <c r="AJ169" s="1"/>
      <c r="AK169" s="1"/>
      <c r="AL169" s="1"/>
      <c r="AM169" s="1">
        <v>1168352.26</v>
      </c>
      <c r="AN169" s="1">
        <v>0</v>
      </c>
      <c r="AO169" s="1"/>
      <c r="AP169" s="1"/>
      <c r="AQ169" s="1">
        <v>1168352.26</v>
      </c>
      <c r="AR169" s="1">
        <v>0</v>
      </c>
      <c r="AS169" s="1"/>
      <c r="AT169" s="1">
        <v>234141.17</v>
      </c>
      <c r="AU169" s="1">
        <v>934211.09</v>
      </c>
      <c r="AV169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69"/>
  <sheetViews>
    <sheetView tabSelected="1" topLeftCell="C1" zoomScaleNormal="100" workbookViewId="0">
      <selection activeCell="J46" sqref="J46"/>
    </sheetView>
  </sheetViews>
  <sheetFormatPr defaultColWidth="9.140625" defaultRowHeight="15" x14ac:dyDescent="0.25"/>
  <cols>
    <col min="1" max="1" width="15.42578125" style="9" customWidth="1"/>
    <col min="2" max="2" width="74.42578125" style="9" customWidth="1"/>
    <col min="3" max="3" width="9.140625" style="9"/>
    <col min="4" max="4" width="17.7109375" style="9" customWidth="1"/>
    <col min="5" max="5" width="13.5703125" style="22" customWidth="1"/>
    <col min="6" max="11" width="13.5703125" style="9" customWidth="1"/>
    <col min="12" max="12" width="9.140625" style="9"/>
    <col min="13" max="13" width="9.140625" style="22"/>
    <col min="14" max="14" width="20.28515625" style="9" customWidth="1"/>
    <col min="15" max="15" width="19.7109375" style="9" customWidth="1"/>
    <col min="16" max="16384" width="9.140625" style="9"/>
  </cols>
  <sheetData>
    <row r="1" spans="1:15" x14ac:dyDescent="0.25">
      <c r="A1" s="15" t="s">
        <v>108</v>
      </c>
      <c r="B1" s="15" t="s">
        <v>106</v>
      </c>
      <c r="C1" s="15" t="s">
        <v>107</v>
      </c>
      <c r="D1" s="15" t="s">
        <v>123</v>
      </c>
      <c r="E1" s="26" t="s">
        <v>110</v>
      </c>
      <c r="F1" s="15" t="s">
        <v>111</v>
      </c>
      <c r="G1" s="15" t="s">
        <v>109</v>
      </c>
      <c r="H1" s="15" t="s">
        <v>118</v>
      </c>
      <c r="I1" s="15" t="s">
        <v>119</v>
      </c>
      <c r="J1" s="15" t="s">
        <v>121</v>
      </c>
      <c r="K1" s="15" t="s">
        <v>120</v>
      </c>
      <c r="L1" s="9" t="s">
        <v>156</v>
      </c>
      <c r="M1" s="22" t="s">
        <v>157</v>
      </c>
      <c r="N1" s="9" t="s">
        <v>158</v>
      </c>
      <c r="O1" s="9" t="s">
        <v>159</v>
      </c>
    </row>
    <row r="2" spans="1:15" x14ac:dyDescent="0.25">
      <c r="A2" s="9">
        <v>1</v>
      </c>
      <c r="B2" s="1" t="s">
        <v>112</v>
      </c>
      <c r="C2" s="9">
        <v>2021</v>
      </c>
      <c r="D2" s="9">
        <f>'Profit and loss'!AU2/Balance!DQ2</f>
        <v>-8.4689621143012913E-4</v>
      </c>
      <c r="E2" s="22">
        <f>(Balance!DS2-Balance!DU2+Balance!EQ2-Balance!ES2)/Balance!DQ2</f>
        <v>-10.548780216650702</v>
      </c>
      <c r="F2" s="9">
        <f>Balance!CY2/Balance!EQ2</f>
        <v>1.2335007886950984</v>
      </c>
      <c r="G2" s="9">
        <f>LN(Balance!DA2)</f>
        <v>18.428936302856851</v>
      </c>
      <c r="H2" s="9">
        <f>(Balance!GC2-Balance!FC2-Balance!ES2-Balance!EC2-Balance!DU2)/Balance!DA2</f>
        <v>0.68697290014051815</v>
      </c>
      <c r="I2" s="9">
        <f>'Profit and loss'!Z2/'Profit and loss'!P2</f>
        <v>0.2037847718723465</v>
      </c>
      <c r="J2" s="9">
        <f>'Profit and loss'!P2/Balance!AY2</f>
        <v>8.3109234625525001</v>
      </c>
      <c r="K2" s="9" t="e">
        <f>LN(Balance!DQ2)</f>
        <v>#NUM!</v>
      </c>
      <c r="L2" s="9">
        <f>Balance!AW2/Balance!DA2</f>
        <v>8.5072819297683414E-2</v>
      </c>
      <c r="M2" s="22">
        <f>'Profit and loss'!P2/Balance!DA2</f>
        <v>1.0024918829630447</v>
      </c>
      <c r="N2" s="9">
        <f>'Profit and loss'!AI2/(Balance!EK2+Balance!FU2)*100</f>
        <v>54.095421012465017</v>
      </c>
      <c r="O2" s="9">
        <f>(Balance!DS2-Balance!DU2+Balance!EQ2-Balance!ES2)/'Profit and loss'!Z2</f>
        <v>3.3626913970073029</v>
      </c>
    </row>
    <row r="3" spans="1:15" x14ac:dyDescent="0.25">
      <c r="A3" s="9">
        <v>1</v>
      </c>
      <c r="B3" s="1" t="s">
        <v>112</v>
      </c>
      <c r="C3" s="9">
        <v>2020</v>
      </c>
      <c r="D3" s="9">
        <f>'Profit and loss'!AU3/Balance!DQ3</f>
        <v>1.8445536525597133</v>
      </c>
      <c r="E3" s="22">
        <f>(Balance!DS3-Balance!DU3+Balance!EQ3-Balance!ES3)/Balance!DQ3</f>
        <v>-10.70920643666312</v>
      </c>
      <c r="F3" s="9">
        <f>Balance!CY3/Balance!EQ3</f>
        <v>1.3427708454245404</v>
      </c>
      <c r="G3" s="9">
        <f>LN(Balance!DA3)</f>
        <v>18.151283205900153</v>
      </c>
      <c r="H3" s="9">
        <f>(Balance!GC3-Balance!FC3-Balance!ES3-Balance!EC3-Balance!DU3)/Balance!DA3</f>
        <v>0.94659479136154701</v>
      </c>
      <c r="I3" s="9">
        <f>'Profit and loss'!Z3/'Profit and loss'!P3</f>
        <v>0</v>
      </c>
      <c r="J3" s="9">
        <f>'Profit and loss'!P3/Balance!AY3</f>
        <v>3.1224569294202045</v>
      </c>
      <c r="K3" s="9" t="e">
        <f>LN(Balance!DQ3)</f>
        <v>#NUM!</v>
      </c>
      <c r="L3" s="9">
        <f>Balance!AW3/Balance!DA3</f>
        <v>0.1213384423644788</v>
      </c>
      <c r="M3" s="22">
        <f>'Profit and loss'!P3/Balance!DA3</f>
        <v>0.99881760506925321</v>
      </c>
      <c r="N3" s="9">
        <f>'Profit and loss'!AI3/(Balance!EK3+Balance!FU3)*100</f>
        <v>24.125741505239759</v>
      </c>
      <c r="O3" s="9" t="e">
        <f>(Balance!DS3-Balance!DU3+Balance!EQ3-Balance!ES3)/'Profit and loss'!Z3</f>
        <v>#DIV/0!</v>
      </c>
    </row>
    <row r="4" spans="1:15" x14ac:dyDescent="0.25">
      <c r="A4" s="9">
        <v>1</v>
      </c>
      <c r="B4" s="1" t="s">
        <v>112</v>
      </c>
      <c r="C4" s="9">
        <v>2019</v>
      </c>
      <c r="D4" s="9">
        <f>'Profit and loss'!AU4/Balance!DQ4</f>
        <v>0.31518614578812987</v>
      </c>
      <c r="E4" s="22">
        <f>(Balance!DS4-Balance!DU4+Balance!EQ4-Balance!ES4)/Balance!DQ4</f>
        <v>6.8738984145566109</v>
      </c>
      <c r="F4" s="9">
        <f>Balance!CY4/Balance!EQ4</f>
        <v>1.9148237373145347</v>
      </c>
      <c r="G4" s="9">
        <f>LN(Balance!DA4)</f>
        <v>18.01758765538019</v>
      </c>
      <c r="H4" s="9">
        <f>(Balance!GC4-Balance!FC4-Balance!ES4-Balance!EC4-Balance!DU4)/Balance!DA4</f>
        <v>0.76445323470236559</v>
      </c>
      <c r="I4" s="9">
        <f>'Profit and loss'!Z4/'Profit and loss'!P4</f>
        <v>7.877954269898306E-2</v>
      </c>
      <c r="J4" s="9">
        <f>'Profit and loss'!P4/Balance!AY4</f>
        <v>4.2305104411596632</v>
      </c>
      <c r="K4" s="9">
        <f>LN(Balance!DQ4)</f>
        <v>15.821261828702628</v>
      </c>
      <c r="L4" s="9">
        <f>Balance!AW4/Balance!DA4</f>
        <v>0.1454169337760759</v>
      </c>
      <c r="M4" s="22">
        <f>'Profit and loss'!P4/Balance!DA4</f>
        <v>1.4036594753498575</v>
      </c>
      <c r="N4" s="9">
        <f>'Profit and loss'!AI4/(Balance!EK4+Balance!FU4)*100</f>
        <v>15.776210280373832</v>
      </c>
      <c r="O4" s="9">
        <f>(Balance!DS4-Balance!DU4+Balance!EQ4-Balance!ES4)/'Profit and loss'!Z4</f>
        <v>6.9131456269477001</v>
      </c>
    </row>
    <row r="5" spans="1:15" x14ac:dyDescent="0.25">
      <c r="A5" s="9">
        <v>1</v>
      </c>
      <c r="B5" s="8" t="s">
        <v>112</v>
      </c>
      <c r="C5" s="9">
        <v>2018</v>
      </c>
      <c r="D5" s="9">
        <f>'Profit and loss'!AU5/Balance!DQ5</f>
        <v>0.29002157035622783</v>
      </c>
      <c r="E5" s="22">
        <f>(Balance!DS5-Balance!DU5+Balance!EQ5-Balance!ES5)/Balance!DQ5</f>
        <v>6.1357400436860505</v>
      </c>
      <c r="F5" s="9">
        <f>Balance!CY5/Balance!EQ5</f>
        <v>2.4800365069161958</v>
      </c>
      <c r="G5" s="9">
        <f>LN(Balance!DA5)</f>
        <v>17.805786232980228</v>
      </c>
      <c r="H5" s="9">
        <f>(Balance!GC5-Balance!FC5-Balance!ES5-Balance!EC5-Balance!DU5)/Balance!DA5</f>
        <v>0.8073808050273098</v>
      </c>
      <c r="I5" s="9">
        <f>'Profit and loss'!Z5/'Profit and loss'!P5</f>
        <v>6.4140135783243749E-2</v>
      </c>
      <c r="J5" s="9">
        <f>'Profit and loss'!P5/Balance!AY5</f>
        <v>5.679775256481765</v>
      </c>
      <c r="K5" s="9">
        <f>LN(Balance!DQ5)</f>
        <v>15.777695690920417</v>
      </c>
      <c r="L5" s="9">
        <f>Balance!AW5/Balance!DA5</f>
        <v>0.13067113092147403</v>
      </c>
      <c r="M5" s="22">
        <f>'Profit and loss'!P5/Balance!DA5</f>
        <v>1.2326288728347823</v>
      </c>
      <c r="N5" s="9">
        <f>'Profit and loss'!AI5/(Balance!EK5+Balance!FU5)*100</f>
        <v>10.665748323538585</v>
      </c>
      <c r="O5" s="9">
        <f>(Balance!DS5-Balance!DU5+Balance!EQ5-Balance!ES5)/'Profit and loss'!Z5</f>
        <v>10.212127039066756</v>
      </c>
    </row>
    <row r="6" spans="1:15" x14ac:dyDescent="0.25">
      <c r="A6" s="9">
        <v>2</v>
      </c>
      <c r="B6" s="1" t="s">
        <v>113</v>
      </c>
      <c r="C6" s="9">
        <v>2021</v>
      </c>
      <c r="D6" s="9">
        <f>'Profit and loss'!AU6/Balance!DQ6</f>
        <v>-0.40412123047085596</v>
      </c>
      <c r="E6" s="22">
        <f>(Balance!DS6-Balance!DU6+Balance!EQ6-Balance!ES6)/Balance!DQ6</f>
        <v>1.1396686820331519</v>
      </c>
      <c r="F6" s="9">
        <f>Balance!CY6/Balance!EQ6</f>
        <v>1.1774442804951475</v>
      </c>
      <c r="G6" s="9">
        <f>LN(Balance!DA6)</f>
        <v>17.710048791792094</v>
      </c>
      <c r="H6" s="9">
        <f>(Balance!GC6-Balance!FC6-Balance!ES6-Balance!EC6-Balance!DU6)/Balance!DA6</f>
        <v>0.16241510859424227</v>
      </c>
      <c r="I6" s="9">
        <f>'Profit and loss'!Z6/'Profit and loss'!P6</f>
        <v>1.4913206952452058E-2</v>
      </c>
      <c r="J6" s="9">
        <f>'Profit and loss'!P6/Balance!AY6</f>
        <v>4.3653510026944602</v>
      </c>
      <c r="K6" s="9">
        <f>LN(Balance!DQ6)</f>
        <v>15.761711379056091</v>
      </c>
      <c r="L6" s="9">
        <f>Balance!AW6/Balance!DA6</f>
        <v>0.28841835771052499</v>
      </c>
      <c r="M6" s="22">
        <f>'Profit and loss'!P6/Balance!DA6</f>
        <v>1.8400120406990281</v>
      </c>
      <c r="N6" s="9">
        <f>'Profit and loss'!AI6/(Balance!EK6+Balance!FU6)*100</f>
        <v>50.471403508771928</v>
      </c>
      <c r="O6" s="9">
        <f>(Balance!DS6-Balance!DU6+Balance!EQ6-Balance!ES6)/'Profit and loss'!Z6</f>
        <v>5.91881433836482</v>
      </c>
    </row>
    <row r="7" spans="1:15" x14ac:dyDescent="0.25">
      <c r="A7" s="9">
        <v>2</v>
      </c>
      <c r="B7" s="1" t="s">
        <v>113</v>
      </c>
      <c r="C7" s="9">
        <v>2020</v>
      </c>
      <c r="D7" s="9">
        <f>'Profit and loss'!AU7/Balance!DQ7</f>
        <v>-0.38069999038925934</v>
      </c>
      <c r="E7" s="22">
        <f>(Balance!DS7-Balance!DU7+Balance!EQ7-Balance!ES7)/Balance!DQ7</f>
        <v>2.5518391997375498</v>
      </c>
      <c r="F7" s="9">
        <f>Balance!CY7/Balance!EQ7</f>
        <v>2.0527640009615435</v>
      </c>
      <c r="G7" s="9">
        <f>LN(Balance!DA7)</f>
        <v>17.811767353122256</v>
      </c>
      <c r="H7" s="9">
        <f>(Balance!GC7-Balance!FC7-Balance!ES7-Balance!EC7-Balance!DU7)/Balance!DA7</f>
        <v>0.46275647973973677</v>
      </c>
      <c r="I7" s="9">
        <f>'Profit and loss'!Z7/'Profit and loss'!P7</f>
        <v>0</v>
      </c>
      <c r="J7" s="9">
        <f>'Profit and loss'!P7/Balance!AY7</f>
        <v>3.1251544528651265</v>
      </c>
      <c r="K7" s="9">
        <f>LN(Balance!DQ7)</f>
        <v>16.104398674184623</v>
      </c>
      <c r="L7" s="9">
        <f>Balance!AW7/Balance!DA7</f>
        <v>0.27893538571052479</v>
      </c>
      <c r="M7" s="22">
        <f>'Profit and loss'!P7/Balance!DA7</f>
        <v>1.4199990954911337</v>
      </c>
      <c r="N7" s="9">
        <f>'Profit and loss'!AI7/(Balance!EK7+Balance!FU7)*100</f>
        <v>15.475369398465885</v>
      </c>
      <c r="O7" s="9" t="e">
        <f>(Balance!DS7-Balance!DU7+Balance!EQ7-Balance!ES7)/'Profit and loss'!Z7</f>
        <v>#DIV/0!</v>
      </c>
    </row>
    <row r="8" spans="1:15" x14ac:dyDescent="0.25">
      <c r="A8" s="9">
        <v>2</v>
      </c>
      <c r="B8" s="1" t="s">
        <v>113</v>
      </c>
      <c r="C8" s="9">
        <v>2019</v>
      </c>
      <c r="D8" s="9">
        <f>'Profit and loss'!AU8/Balance!DQ8</f>
        <v>0.18726811138279015</v>
      </c>
      <c r="E8" s="22">
        <f>(Balance!DS8-Balance!DU8+Balance!EQ8-Balance!ES8)/Balance!DQ8</f>
        <v>1.7013342981433466</v>
      </c>
      <c r="F8" s="9">
        <f>Balance!CY8/Balance!EQ8</f>
        <v>1.2122205270189295</v>
      </c>
      <c r="G8" s="9">
        <f>LN(Balance!DA8)</f>
        <v>17.597536967435133</v>
      </c>
      <c r="H8" s="9">
        <f>(Balance!GC8-Balance!FC8-Balance!ES8-Balance!EC8-Balance!DU8)/Balance!DA8</f>
        <v>0.48175123695132033</v>
      </c>
      <c r="I8" s="9">
        <f>'Profit and loss'!Z8/'Profit and loss'!P8</f>
        <v>5.8615062601643314E-2</v>
      </c>
      <c r="J8" s="9">
        <f>'Profit and loss'!P8/Balance!AY8</f>
        <v>4.7186895360827981</v>
      </c>
      <c r="K8" s="9">
        <f>LN(Balance!DQ8)</f>
        <v>16.335796738900228</v>
      </c>
      <c r="L8" s="9">
        <f>Balance!AW8/Balance!DA8</f>
        <v>0.27378958272126264</v>
      </c>
      <c r="M8" s="22">
        <f>'Profit and loss'!P8/Balance!DA8</f>
        <v>2.3463680529114264</v>
      </c>
      <c r="N8" s="9">
        <f>'Profit and loss'!AI8/(Balance!EK8+Balance!FU8)*100</f>
        <v>14.520987951807228</v>
      </c>
      <c r="O8" s="9">
        <f>(Balance!DS8-Balance!DU8+Balance!EQ8-Balance!ES8)/'Profit and loss'!Z8</f>
        <v>3.5028171584507963</v>
      </c>
    </row>
    <row r="9" spans="1:15" x14ac:dyDescent="0.25">
      <c r="A9" s="9">
        <v>2</v>
      </c>
      <c r="B9" s="8" t="s">
        <v>113</v>
      </c>
      <c r="C9" s="9">
        <v>2018</v>
      </c>
      <c r="D9" s="9">
        <f>'Profit and loss'!AU9/Balance!DQ9</f>
        <v>0.18589726588847638</v>
      </c>
      <c r="E9" s="22">
        <f>(Balance!DS9-Balance!DU9+Balance!EQ9-Balance!ES9)/Balance!DQ9</f>
        <v>1.3127136472463032</v>
      </c>
      <c r="F9" s="9">
        <f>Balance!CY9/Balance!EQ9</f>
        <v>1.3229833728936968</v>
      </c>
      <c r="G9" s="9">
        <f>LN(Balance!DA9)</f>
        <v>17.478617408382334</v>
      </c>
      <c r="H9" s="9">
        <f>(Balance!GC9-Balance!FC9-Balance!ES9-Balance!EC9-Balance!DU9)/Balance!DA9</f>
        <v>0.44059135914286363</v>
      </c>
      <c r="I9" s="9">
        <f>'Profit and loss'!Z9/'Profit and loss'!P9</f>
        <v>7.2805452428043788E-2</v>
      </c>
      <c r="J9" s="9">
        <f>'Profit and loss'!P9/Balance!AY9</f>
        <v>4.0745278674017866</v>
      </c>
      <c r="K9" s="9">
        <f>LN(Balance!DQ9)</f>
        <v>16.38688347091658</v>
      </c>
      <c r="L9" s="9">
        <f>Balance!AW9/Balance!DA9</f>
        <v>0.28391247743493214</v>
      </c>
      <c r="M9" s="22">
        <f>'Profit and loss'!P9/Balance!DA9</f>
        <v>1.6170163474587047</v>
      </c>
      <c r="N9" s="9">
        <f>'Profit and loss'!AI9/(Balance!EK9+Balance!FU9)*100</f>
        <v>4.1764747273366956</v>
      </c>
      <c r="O9" s="9">
        <f>(Balance!DS9-Balance!DU9+Balance!EQ9-Balance!ES9)/'Profit and loss'!Z9</f>
        <v>3.7424642466403837</v>
      </c>
    </row>
    <row r="10" spans="1:15" x14ac:dyDescent="0.25">
      <c r="A10" s="9">
        <v>3</v>
      </c>
      <c r="B10" s="1" t="s">
        <v>114</v>
      </c>
      <c r="C10" s="9">
        <v>2021</v>
      </c>
      <c r="D10" s="9">
        <f>'Profit and loss'!AU10/Balance!DQ10</f>
        <v>-8.2530713290499644</v>
      </c>
      <c r="E10" s="22">
        <f>(Balance!DS10-Balance!DU10+Balance!EQ10-Balance!ES10)/Balance!DQ10</f>
        <v>63.157920224795149</v>
      </c>
      <c r="F10" s="9">
        <f>Balance!CY10/Balance!EQ10</f>
        <v>1.4485085885810904</v>
      </c>
      <c r="G10" s="9">
        <f>LN(Balance!DA10)</f>
        <v>18.13532838228242</v>
      </c>
      <c r="H10" s="9">
        <f>(Balance!GC10-Balance!FC10-Balance!ES10-Balance!EC10-Balance!DU10)/Balance!DA10</f>
        <v>0.70373757039115115</v>
      </c>
      <c r="I10" s="9">
        <f>'Profit and loss'!Z10/'Profit and loss'!P10</f>
        <v>0</v>
      </c>
      <c r="J10" s="9">
        <f>'Profit and loss'!P10/Balance!AY10</f>
        <v>2.8842364126140358</v>
      </c>
      <c r="K10" s="9">
        <f>LN(Balance!DQ10)</f>
        <v>13.661144188210949</v>
      </c>
      <c r="L10" s="9">
        <f>Balance!AW10/Balance!DA10</f>
        <v>0.14247603177080359</v>
      </c>
      <c r="M10" s="22">
        <f>'Profit and loss'!P10/Balance!DA10</f>
        <v>0.44889198835590571</v>
      </c>
      <c r="N10" s="9">
        <f>'Profit and loss'!AI10/(Balance!EK10+Balance!FU10)*100</f>
        <v>30.464429329202041</v>
      </c>
      <c r="O10" s="9" t="e">
        <f>(Balance!DS10-Balance!DU10+Balance!EQ10-Balance!ES10)/'Profit and loss'!Z10</f>
        <v>#DIV/0!</v>
      </c>
    </row>
    <row r="11" spans="1:15" x14ac:dyDescent="0.25">
      <c r="A11" s="9">
        <v>3</v>
      </c>
      <c r="B11" s="1" t="s">
        <v>114</v>
      </c>
      <c r="C11" s="9">
        <v>2020</v>
      </c>
      <c r="D11" s="9">
        <f>'Profit and loss'!AU11/Balance!DQ11</f>
        <v>-2.2226214558831336</v>
      </c>
      <c r="E11" s="22">
        <f>(Balance!DS11-Balance!DU11+Balance!EQ11-Balance!ES11)/Balance!DQ11</f>
        <v>8.7042353952668705</v>
      </c>
      <c r="F11" s="9">
        <f>Balance!CY11/Balance!EQ11</f>
        <v>1.4393011428264961</v>
      </c>
      <c r="G11" s="9">
        <f>LN(Balance!DA11)</f>
        <v>18.382872225183043</v>
      </c>
      <c r="H11" s="9">
        <f>(Balance!GC11-Balance!FC11-Balance!ES11-Balance!EC11-Balance!DU11)/Balance!DA11</f>
        <v>0.68545872960698928</v>
      </c>
      <c r="I11" s="9">
        <f>'Profit and loss'!Z11/'Profit and loss'!P11</f>
        <v>0</v>
      </c>
      <c r="J11" s="9">
        <f>'Profit and loss'!P11/Balance!AY11</f>
        <v>2.9831690117532426</v>
      </c>
      <c r="K11" s="9">
        <f>LN(Balance!DQ11)</f>
        <v>15.859714742384176</v>
      </c>
      <c r="L11" s="9">
        <f>Balance!AW11/Balance!DA11</f>
        <v>0.12178822185917439</v>
      </c>
      <c r="M11" s="22">
        <f>'Profit and loss'!P11/Balance!DA11</f>
        <v>0.46325826232974171</v>
      </c>
      <c r="N11" s="9">
        <f>'Profit and loss'!AI11/(Balance!EK11+Balance!FU11)*100</f>
        <v>20.727380632162127</v>
      </c>
      <c r="O11" s="9" t="e">
        <f>(Balance!DS11-Balance!DU11+Balance!EQ11-Balance!ES11)/'Profit and loss'!Z11</f>
        <v>#DIV/0!</v>
      </c>
    </row>
    <row r="12" spans="1:15" x14ac:dyDescent="0.25">
      <c r="A12" s="9">
        <v>3</v>
      </c>
      <c r="B12" s="1" t="s">
        <v>114</v>
      </c>
      <c r="C12" s="9">
        <v>2019</v>
      </c>
      <c r="D12" s="9">
        <f>'Profit and loss'!AU12/Balance!DQ12</f>
        <v>2.2446229200069018E-2</v>
      </c>
      <c r="E12" s="22">
        <f>(Balance!DS12-Balance!DU12+Balance!EQ12-Balance!ES12)/Balance!DQ12</f>
        <v>2.5434074465222491</v>
      </c>
      <c r="F12" s="9">
        <f>Balance!CY12/Balance!EQ12</f>
        <v>1.6661489157484426</v>
      </c>
      <c r="G12" s="9">
        <f>LN(Balance!DA12)</f>
        <v>18.45326558738142</v>
      </c>
      <c r="H12" s="9">
        <f>(Balance!GC12-Balance!FC12-Balance!ES12-Balance!EC12-Balance!DU12)/Balance!DA12</f>
        <v>0.56068375877435361</v>
      </c>
      <c r="I12" s="9">
        <f>'Profit and loss'!Z12/'Profit and loss'!P12</f>
        <v>4.8653115821354724E-2</v>
      </c>
      <c r="J12" s="9">
        <f>'Profit and loss'!P12/Balance!AY12</f>
        <v>1.9699977698267517</v>
      </c>
      <c r="K12" s="9">
        <f>LN(Balance!DQ12)</f>
        <v>16.956165651019091</v>
      </c>
      <c r="L12" s="9">
        <f>Balance!AW12/Balance!DA12</f>
        <v>0.12456672776980317</v>
      </c>
      <c r="M12" s="22">
        <f>'Profit and loss'!P12/Balance!DA12</f>
        <v>0.76789247409972938</v>
      </c>
      <c r="N12" s="9">
        <f>'Profit and loss'!AI12/(Balance!EK12+Balance!FU12)*100</f>
        <v>9.4584815925925927</v>
      </c>
      <c r="O12" s="9">
        <f>(Balance!DS12-Balance!DU12+Balance!EQ12-Balance!ES12)/'Profit and loss'!Z12</f>
        <v>15.234304349873174</v>
      </c>
    </row>
    <row r="13" spans="1:15" x14ac:dyDescent="0.25">
      <c r="A13" s="9">
        <v>3</v>
      </c>
      <c r="B13" s="8" t="s">
        <v>114</v>
      </c>
      <c r="C13" s="9">
        <v>2018</v>
      </c>
      <c r="D13" s="9">
        <f>'Profit and loss'!AU13/Balance!DQ13</f>
        <v>0.52707085854411617</v>
      </c>
      <c r="E13" s="22">
        <f>(Balance!DS13-Balance!DU13+Balance!EQ13-Balance!ES13)/Balance!DQ13</f>
        <v>1.2544408371620011</v>
      </c>
      <c r="F13" s="9">
        <f>Balance!CY13/Balance!EQ13</f>
        <v>2.7890888539768168</v>
      </c>
      <c r="G13" s="9">
        <f>LN(Balance!DA13)</f>
        <v>18.120141072368828</v>
      </c>
      <c r="H13" s="9">
        <f>(Balance!GC13-Balance!FC13-Balance!ES13-Balance!EC13-Balance!DU13)/Balance!DA13</f>
        <v>0.52700619202493482</v>
      </c>
      <c r="I13" s="9">
        <f>'Profit and loss'!Z13/'Profit and loss'!P13</f>
        <v>0.22147241525363162</v>
      </c>
      <c r="J13" s="9">
        <f>'Profit and loss'!P13/Balance!AY13</f>
        <v>3.6335104469657784</v>
      </c>
      <c r="K13" s="9">
        <f>LN(Balance!DQ13)</f>
        <v>17.252908166212332</v>
      </c>
      <c r="L13" s="9">
        <f>Balance!AW13/Balance!DA13</f>
        <v>0.1517136395816566</v>
      </c>
      <c r="M13" s="22">
        <f>'Profit and loss'!P13/Balance!DA13</f>
        <v>1.3105272095229707</v>
      </c>
      <c r="N13" s="9">
        <f>'Profit and loss'!AI13/(Balance!EK13+Balance!FU13)*100</f>
        <v>9.0253733191928891</v>
      </c>
      <c r="O13" s="9">
        <f>(Balance!DS13-Balance!DU13+Balance!EQ13-Balance!ES13)/'Profit and loss'!Z13</f>
        <v>1.8157248350466935</v>
      </c>
    </row>
    <row r="14" spans="1:15" x14ac:dyDescent="0.25">
      <c r="A14" s="9">
        <v>4</v>
      </c>
      <c r="B14" s="1" t="s">
        <v>115</v>
      </c>
      <c r="C14" s="9">
        <v>2021</v>
      </c>
      <c r="D14" s="9">
        <f>'Profit and loss'!AU14/Balance!DQ14</f>
        <v>-0.13033509982178643</v>
      </c>
      <c r="E14" s="22">
        <f>(Balance!DS14-Balance!DU14+Balance!EQ14-Balance!ES14)/Balance!DQ14</f>
        <v>0.18340202993672583</v>
      </c>
      <c r="F14" s="9">
        <f>Balance!CY14/Balance!EQ14</f>
        <v>2.8407882477282635</v>
      </c>
      <c r="G14" s="9">
        <f>LN(Balance!DA14)</f>
        <v>17.805639707906607</v>
      </c>
      <c r="H14" s="9">
        <f>(Balance!GC14-Balance!FC14-Balance!ES14-Balance!EC14-Balance!DU14)/Balance!DA14</f>
        <v>0.14800754861036902</v>
      </c>
      <c r="I14" s="9">
        <f>'Profit and loss'!Z14/'Profit and loss'!P14</f>
        <v>0</v>
      </c>
      <c r="J14" s="9">
        <f>'Profit and loss'!P14/Balance!AY14</f>
        <v>3.5690080445712948</v>
      </c>
      <c r="K14" s="9">
        <f>LN(Balance!DQ14)</f>
        <v>17.591222356375777</v>
      </c>
      <c r="L14" s="9">
        <f>Balance!AW14/Balance!DA14</f>
        <v>0.45176055782457103</v>
      </c>
      <c r="M14" s="22">
        <f>'Profit and loss'!P14/Balance!DA14</f>
        <v>0.98007589859403865</v>
      </c>
      <c r="N14" s="9">
        <f>'Profit and loss'!AI14/(Balance!EK14+Balance!FU14)*100</f>
        <v>11.708262821085626</v>
      </c>
      <c r="O14" s="9" t="e">
        <f>(Balance!DS14-Balance!DU14+Balance!EQ14-Balance!ES14)/'Profit and loss'!Z14</f>
        <v>#DIV/0!</v>
      </c>
    </row>
    <row r="15" spans="1:15" x14ac:dyDescent="0.25">
      <c r="A15" s="9">
        <v>4</v>
      </c>
      <c r="B15" s="1" t="s">
        <v>115</v>
      </c>
      <c r="C15" s="9">
        <v>2020</v>
      </c>
      <c r="D15" s="9">
        <f>'Profit and loss'!AU15/Balance!DQ15</f>
        <v>-7.994265682609572E-2</v>
      </c>
      <c r="E15" s="22">
        <f>(Balance!DS15-Balance!DU15+Balance!EQ15-Balance!ES15)/Balance!DQ15</f>
        <v>0.20265490279638645</v>
      </c>
      <c r="F15" s="9">
        <f>Balance!CY15/Balance!EQ15</f>
        <v>2.900075361307465</v>
      </c>
      <c r="G15" s="9">
        <f>LN(Balance!DA15)</f>
        <v>17.950061581304809</v>
      </c>
      <c r="H15" s="9">
        <f>(Balance!GC15-Balance!FC15-Balance!ES15-Balance!EC15-Balance!DU15)/Balance!DA15</f>
        <v>0.16012357107872185</v>
      </c>
      <c r="I15" s="9">
        <f>'Profit and loss'!Z15/'Profit and loss'!P15</f>
        <v>0</v>
      </c>
      <c r="J15" s="9">
        <f>'Profit and loss'!P15/Balance!AY15</f>
        <v>4.8803280492887691</v>
      </c>
      <c r="K15" s="9">
        <f>LN(Balance!DQ15)</f>
        <v>17.714502871494819</v>
      </c>
      <c r="L15" s="9">
        <f>Balance!AW15/Balance!DA15</f>
        <v>0.39135907645954493</v>
      </c>
      <c r="M15" s="22">
        <f>'Profit and loss'!P15/Balance!DA15</f>
        <v>1.1982708399717517</v>
      </c>
      <c r="N15" s="9">
        <f>'Profit and loss'!AI15/(Balance!EK15+Balance!FU15)*100</f>
        <v>24.668333905743754</v>
      </c>
      <c r="O15" s="9" t="e">
        <f>(Balance!DS15-Balance!DU15+Balance!EQ15-Balance!ES15)/'Profit and loss'!Z15</f>
        <v>#DIV/0!</v>
      </c>
    </row>
    <row r="16" spans="1:15" x14ac:dyDescent="0.25">
      <c r="A16" s="9">
        <v>4</v>
      </c>
      <c r="B16" s="1" t="s">
        <v>115</v>
      </c>
      <c r="C16" s="9">
        <v>2019</v>
      </c>
      <c r="D16" s="9">
        <f>'Profit and loss'!AU16/Balance!DQ16</f>
        <v>0.1409630992761898</v>
      </c>
      <c r="E16" s="22">
        <f>(Balance!DS16-Balance!DU16+Balance!EQ16-Balance!ES16)/Balance!DQ16</f>
        <v>0.25719177756281575</v>
      </c>
      <c r="F16" s="9">
        <f>Balance!CY16/Balance!EQ16</f>
        <v>3.0417513083095358</v>
      </c>
      <c r="G16" s="9">
        <f>LN(Balance!DA16)</f>
        <v>18.18548065378533</v>
      </c>
      <c r="H16" s="9">
        <f>(Balance!GC16-Balance!FC16-Balance!ES16-Balance!EC16-Balance!DU16)/Balance!DA16</f>
        <v>0.19455152212386068</v>
      </c>
      <c r="I16" s="9">
        <f>'Profit and loss'!Z16/'Profit and loss'!P16</f>
        <v>4.6300771585021189E-2</v>
      </c>
      <c r="J16" s="9">
        <f>'Profit and loss'!P16/Balance!AY16</f>
        <v>3.1661947092961884</v>
      </c>
      <c r="K16" s="9">
        <f>LN(Balance!DQ16)</f>
        <v>17.906355654191568</v>
      </c>
      <c r="L16" s="9">
        <f>Balance!AW16/Balance!DA16</f>
        <v>0.26087614130886666</v>
      </c>
      <c r="M16" s="22">
        <f>'Profit and loss'!P16/Balance!DA16</f>
        <v>1.2398346785124954</v>
      </c>
      <c r="N16" s="9">
        <f>'Profit and loss'!AI16/(Balance!EK16+Balance!FU16)*100</f>
        <v>4.2081107070095918</v>
      </c>
      <c r="O16" s="9">
        <f>(Balance!DS16-Balance!DU16+Balance!EQ16-Balance!ES16)/'Profit and loss'!Z16</f>
        <v>3.3890862775434574</v>
      </c>
    </row>
    <row r="17" spans="1:15" x14ac:dyDescent="0.25">
      <c r="A17" s="9">
        <v>4</v>
      </c>
      <c r="B17" s="1" t="s">
        <v>115</v>
      </c>
      <c r="C17" s="9">
        <v>2018</v>
      </c>
      <c r="D17" s="9">
        <f>'Profit and loss'!AU17/Balance!DQ17</f>
        <v>0.23400894851527956</v>
      </c>
      <c r="E17" s="22">
        <f>(Balance!DS17-Balance!DU17+Balance!EQ17-Balance!ES17)/Balance!DQ17</f>
        <v>6.8693646737563549E-2</v>
      </c>
      <c r="F17" s="9">
        <f>Balance!CY17/Balance!EQ17</f>
        <v>4.6005165607287086</v>
      </c>
      <c r="G17" s="9">
        <f>LN(Balance!DA17)</f>
        <v>18.068594143163356</v>
      </c>
      <c r="H17" s="9">
        <f>(Balance!GC17-Balance!FC17-Balance!ES17-Balance!EC17-Balance!DU17)/Balance!DA17</f>
        <v>5.68812666980291E-2</v>
      </c>
      <c r="I17" s="9">
        <f>'Profit and loss'!Z17/'Profit and loss'!P17</f>
        <v>0.15963081783908656</v>
      </c>
      <c r="J17" s="9">
        <f>'Profit and loss'!P17/Balance!AY17</f>
        <v>4.3429552991944576</v>
      </c>
      <c r="K17" s="9">
        <f>LN(Balance!DQ17)</f>
        <v>17.879903481461348</v>
      </c>
      <c r="L17" s="9">
        <f>Balance!AW17/Balance!DA17</f>
        <v>0.24857875756012471</v>
      </c>
      <c r="M17" s="22">
        <f>'Profit and loss'!P17/Balance!DA17</f>
        <v>1.4360719392737873</v>
      </c>
      <c r="N17" s="9">
        <f>'Profit and loss'!AI17/(Balance!EK17+Balance!FU17)*100</f>
        <v>8.8585374999999988</v>
      </c>
      <c r="O17" s="9">
        <f>(Balance!DS17-Balance!DU17+Balance!EQ17-Balance!ES17)/'Profit and loss'!Z17</f>
        <v>0.24812831385055659</v>
      </c>
    </row>
    <row r="18" spans="1:15" x14ac:dyDescent="0.25">
      <c r="A18" s="9">
        <v>5</v>
      </c>
      <c r="B18" s="1" t="s">
        <v>116</v>
      </c>
      <c r="C18" s="9">
        <v>2021</v>
      </c>
      <c r="D18" s="9">
        <f>'Profit and loss'!AU18/Balance!DQ18</f>
        <v>-0.29107924998083012</v>
      </c>
      <c r="E18" s="22">
        <f>(Balance!DS18-Balance!DU18+Balance!EQ18-Balance!ES18)/Balance!DQ18</f>
        <v>1.7518337084232689</v>
      </c>
      <c r="F18" s="9">
        <f>Balance!CY18/Balance!EQ18</f>
        <v>1.1073484738240151</v>
      </c>
      <c r="G18" s="9">
        <f>LN(Balance!DA18)</f>
        <v>18.634137586222124</v>
      </c>
      <c r="H18" s="9">
        <f>(Balance!GC18-Balance!FC18-Balance!ES18-Balance!EC18-Balance!DU18)/Balance!DA18</f>
        <v>0.47668920120502112</v>
      </c>
      <c r="I18" s="9">
        <f>'Profit and loss'!Z18/'Profit and loss'!P18</f>
        <v>0</v>
      </c>
      <c r="J18" s="9">
        <f>'Profit and loss'!P18/Balance!AY18</f>
        <v>0.71962754764868297</v>
      </c>
      <c r="K18" s="9">
        <f>LN(Balance!DQ18)</f>
        <v>17.332583943237744</v>
      </c>
      <c r="L18" s="9">
        <f>Balance!AW18/Balance!DA18</f>
        <v>0.20306654209406039</v>
      </c>
      <c r="M18" s="22">
        <f>'Profit and loss'!P18/Balance!DA18</f>
        <v>0.28675698527970517</v>
      </c>
      <c r="N18" s="9">
        <f>'Profit and loss'!AI18/(Balance!EK18+Balance!FU18)*100</f>
        <v>5.342807847865191</v>
      </c>
      <c r="O18" s="9" t="e">
        <f>(Balance!DS18-Balance!DU18+Balance!EQ18-Balance!ES18)/'Profit and loss'!Z18</f>
        <v>#DIV/0!</v>
      </c>
    </row>
    <row r="19" spans="1:15" x14ac:dyDescent="0.25">
      <c r="A19" s="9">
        <v>5</v>
      </c>
      <c r="B19" s="1" t="s">
        <v>116</v>
      </c>
      <c r="C19" s="9">
        <v>2020</v>
      </c>
      <c r="D19" s="9">
        <f>'Profit and loss'!AU19/Balance!DQ19</f>
        <v>2.6707178411985704E-3</v>
      </c>
      <c r="E19" s="22">
        <f>(Balance!DS19-Balance!DU19+Balance!EQ19-Balance!ES19)/Balance!DQ19</f>
        <v>1.1580473018887505</v>
      </c>
      <c r="F19" s="9">
        <f>Balance!CY19/Balance!EQ19</f>
        <v>0.91647634164478331</v>
      </c>
      <c r="G19" s="9">
        <f>LN(Balance!DA19)</f>
        <v>18.016738645476021</v>
      </c>
      <c r="H19" s="9">
        <f>(Balance!GC19-Balance!FC19-Balance!ES19-Balance!EC19-Balance!DU19)/Balance!DA19</f>
        <v>0.31087911238327876</v>
      </c>
      <c r="I19" s="9">
        <f>'Profit and loss'!Z19/'Profit and loss'!P19</f>
        <v>5.511713996689005E-2</v>
      </c>
      <c r="J19" s="9">
        <f>'Profit and loss'!P19/Balance!AY19</f>
        <v>1.2346081180911999</v>
      </c>
      <c r="K19" s="9">
        <f>LN(Balance!DQ19)</f>
        <v>16.701652270709911</v>
      </c>
      <c r="L19" s="9">
        <f>Balance!AW19/Balance!DA19</f>
        <v>0.34351046165965221</v>
      </c>
      <c r="M19" s="22">
        <f>'Profit and loss'!P19/Balance!DA19</f>
        <v>0.65378558961787214</v>
      </c>
      <c r="N19" s="9">
        <f>'Profit and loss'!AI19/(Balance!EK19+Balance!FU19)*100</f>
        <v>8.3439470588235292</v>
      </c>
      <c r="O19" s="9">
        <f>(Balance!DS19-Balance!DU19+Balance!EQ19-Balance!ES19)/'Profit and loss'!Z19</f>
        <v>8.6271932321992573</v>
      </c>
    </row>
    <row r="20" spans="1:15" x14ac:dyDescent="0.25">
      <c r="A20" s="9">
        <v>5</v>
      </c>
      <c r="B20" s="1" t="s">
        <v>116</v>
      </c>
      <c r="C20" s="9">
        <v>2019</v>
      </c>
      <c r="D20" s="9">
        <f>'Profit and loss'!AU20/Balance!DQ20</f>
        <v>-0.67397215947448863</v>
      </c>
      <c r="E20" s="22">
        <f>(Balance!DS20-Balance!DU20+Balance!EQ20-Balance!ES20)/Balance!DQ20</f>
        <v>0.99012395211687898</v>
      </c>
      <c r="F20" s="9">
        <f>Balance!CY20/Balance!EQ20</f>
        <v>0.8107426554724283</v>
      </c>
      <c r="G20" s="9">
        <f>LN(Balance!DA20)</f>
        <v>17.901647176993819</v>
      </c>
      <c r="H20" s="9">
        <f>(Balance!GC20-Balance!FC20-Balance!ES20-Balance!EC20-Balance!DU20)/Balance!DA20</f>
        <v>0.22932494906404838</v>
      </c>
      <c r="I20" s="9">
        <f>'Profit and loss'!Z20/'Profit and loss'!P20</f>
        <v>0</v>
      </c>
      <c r="J20" s="9">
        <f>'Profit and loss'!P20/Balance!AY20</f>
        <v>1.5246998032316252</v>
      </c>
      <c r="K20" s="9">
        <f>LN(Balance!DQ20)</f>
        <v>16.438957026827289</v>
      </c>
      <c r="L20" s="9">
        <f>Balance!AW20/Balance!DA20</f>
        <v>0.38279130342448126</v>
      </c>
      <c r="M20" s="22">
        <f>'Profit and loss'!P20/Balance!DA20</f>
        <v>0.72253216412918275</v>
      </c>
      <c r="N20" s="9">
        <f>'Profit and loss'!AI20/(Balance!EK20+Balance!FU20)*100</f>
        <v>60.433055876697004</v>
      </c>
      <c r="O20" s="9" t="e">
        <f>(Balance!DS20-Balance!DU20+Balance!EQ20-Balance!ES20)/'Profit and loss'!Z20</f>
        <v>#DIV/0!</v>
      </c>
    </row>
    <row r="21" spans="1:15" x14ac:dyDescent="0.25">
      <c r="A21" s="9">
        <v>5</v>
      </c>
      <c r="B21" s="1" t="s">
        <v>116</v>
      </c>
      <c r="C21" s="9">
        <v>2018</v>
      </c>
      <c r="D21" s="9">
        <f>'Profit and loss'!AU21/Balance!DQ21</f>
        <v>9.1336687034083444E-2</v>
      </c>
      <c r="E21" s="22">
        <f>(Balance!DS21-Balance!DU21+Balance!EQ21-Balance!ES21)/Balance!DQ21</f>
        <v>1.1407643576900299</v>
      </c>
      <c r="F21" s="9">
        <f>Balance!CY21/Balance!EQ21</f>
        <v>1.19416220536922</v>
      </c>
      <c r="G21" s="9">
        <f>LN(Balance!DA21)</f>
        <v>17.884165961208556</v>
      </c>
      <c r="H21" s="9">
        <f>(Balance!GC21-Balance!FC21-Balance!ES21-Balance!EC21-Balance!DU21)/Balance!DA21</f>
        <v>0.44295372572517522</v>
      </c>
      <c r="I21" s="9">
        <f>'Profit and loss'!Z21/'Profit and loss'!P21</f>
        <v>0.10013625883795292</v>
      </c>
      <c r="J21" s="9">
        <f>'Profit and loss'!P21/Balance!AY21</f>
        <v>2.7228878223706814</v>
      </c>
      <c r="K21" s="9">
        <f>LN(Balance!DQ21)</f>
        <v>16.93817746328255</v>
      </c>
      <c r="L21" s="9">
        <f>Balance!AW21/Balance!DA21</f>
        <v>0.32831456397144376</v>
      </c>
      <c r="M21" s="22">
        <f>'Profit and loss'!P21/Balance!DA21</f>
        <v>1.1675686425797749</v>
      </c>
      <c r="N21" s="9">
        <f>'Profit and loss'!AI21/(Balance!EK21+Balance!FU21)*100</f>
        <v>10.839008657905836</v>
      </c>
      <c r="O21" s="9">
        <f>(Balance!DS21-Balance!DU21+Balance!EQ21-Balance!ES21)/'Profit and loss'!Z21</f>
        <v>3.7886507677879506</v>
      </c>
    </row>
    <row r="22" spans="1:15" x14ac:dyDescent="0.25">
      <c r="A22" s="9">
        <v>6</v>
      </c>
      <c r="B22" s="1" t="s">
        <v>117</v>
      </c>
      <c r="C22" s="9">
        <v>2021</v>
      </c>
      <c r="D22" s="9">
        <f>'Profit and loss'!AU22/Balance!DQ22</f>
        <v>7.797435863046571E-3</v>
      </c>
      <c r="E22" s="22">
        <f>(Balance!DS22-Balance!DU22+Balance!EQ22-Balance!ES22)/Balance!DQ22</f>
        <v>6.565231909580832E-2</v>
      </c>
      <c r="F22" s="9">
        <f>Balance!CY22/Balance!EQ22</f>
        <v>1.2845572724163101</v>
      </c>
      <c r="G22" s="9">
        <f>LN(Balance!DA22)</f>
        <v>16.42306874337719</v>
      </c>
      <c r="H22" s="9">
        <f>(Balance!GC22-Balance!FC22-Balance!ES22-Balance!EC22-Balance!DU22)/Balance!DA22</f>
        <v>2.8145454572259754E-2</v>
      </c>
      <c r="I22" s="9">
        <f>'Profit and loss'!Z22/'Profit and loss'!P22</f>
        <v>1.4367488409080678E-2</v>
      </c>
      <c r="J22" s="9">
        <f>'Profit and loss'!P22/Balance!AY22</f>
        <v>3.6995766589595109</v>
      </c>
      <c r="K22" s="9">
        <f>LN(Balance!DQ22)</f>
        <v>15.576081687976291</v>
      </c>
      <c r="L22" s="9">
        <f>Balance!AW22/Balance!DA22</f>
        <v>0.26613840527175336</v>
      </c>
      <c r="M22" s="22">
        <f>'Profit and loss'!P22/Balance!DA22</f>
        <v>1.7686218038852608</v>
      </c>
      <c r="N22" s="9">
        <f>'Profit and loss'!AI22/(Balance!EK22+Balance!FU22)*100</f>
        <v>148.28949828949828</v>
      </c>
      <c r="O22" s="9">
        <f>(Balance!DS22-Balance!DU22+Balance!EQ22-Balance!ES22)/'Profit and loss'!Z22</f>
        <v>1.1076242029717045</v>
      </c>
    </row>
    <row r="23" spans="1:15" x14ac:dyDescent="0.25">
      <c r="A23" s="9">
        <v>6</v>
      </c>
      <c r="B23" s="1" t="s">
        <v>117</v>
      </c>
      <c r="C23" s="9">
        <v>2020</v>
      </c>
      <c r="D23" s="9">
        <f>'Profit and loss'!AU23/Balance!DQ23</f>
        <v>0.15183381399611415</v>
      </c>
      <c r="E23" s="22">
        <f>(Balance!DS23-Balance!DU23+Balance!EQ23-Balance!ES23)/Balance!DQ23</f>
        <v>1.5472808009839469E-2</v>
      </c>
      <c r="F23" s="9">
        <f>Balance!CY23/Balance!EQ23</f>
        <v>5.0897805392659627</v>
      </c>
      <c r="G23" s="9">
        <f>LN(Balance!DA23)</f>
        <v>16.533053163305084</v>
      </c>
      <c r="H23" s="9">
        <f>(Balance!GC23-Balance!FC23-Balance!ES23-Balance!EC23-Balance!DU23)/Balance!DA23</f>
        <v>1.3207366752197573E-2</v>
      </c>
      <c r="I23" s="9">
        <f>'Profit and loss'!Z23/'Profit and loss'!P23</f>
        <v>5.5400597266303343E-2</v>
      </c>
      <c r="J23" s="9">
        <f>'Profit and loss'!P23/Balance!AY23</f>
        <v>8.3506734328519769</v>
      </c>
      <c r="K23" s="9">
        <f>LN(Balance!DQ23)</f>
        <v>16.374743763157795</v>
      </c>
      <c r="L23" s="9">
        <f>Balance!AW23/Balance!DA23</f>
        <v>0.25478304786930833</v>
      </c>
      <c r="M23" s="22">
        <f>'Profit and loss'!P23/Balance!DA23</f>
        <v>3.5457356582525175</v>
      </c>
      <c r="N23" s="9" t="e">
        <f>'Profit and loss'!AI23/(Balance!EK23+Balance!FU23)*100</f>
        <v>#DIV/0!</v>
      </c>
      <c r="O23" s="9">
        <f>(Balance!DS23-Balance!DU23+Balance!EQ23-Balance!ES23)/'Profit and loss'!Z23</f>
        <v>6.7235004156804126E-2</v>
      </c>
    </row>
    <row r="24" spans="1:15" x14ac:dyDescent="0.25">
      <c r="A24" s="9">
        <v>6</v>
      </c>
      <c r="B24" s="1" t="s">
        <v>117</v>
      </c>
      <c r="C24" s="9">
        <v>2019</v>
      </c>
      <c r="D24" s="9">
        <f>'Profit and loss'!AU24/Balance!DQ24</f>
        <v>0.21461607983790285</v>
      </c>
      <c r="E24" s="22">
        <f>(Balance!DS24-Balance!DU24+Balance!EQ24-Balance!ES24)/Balance!DQ24</f>
        <v>0.4387584110633817</v>
      </c>
      <c r="F24" s="9">
        <f>Balance!CY24/Balance!EQ24</f>
        <v>2.0410748412624762</v>
      </c>
      <c r="G24" s="9">
        <f>LN(Balance!DA24)</f>
        <v>16.932076941244112</v>
      </c>
      <c r="H24" s="9">
        <f>(Balance!GC24-Balance!FC24-Balance!ES24-Balance!EC24-Balance!DU24)/Balance!DA24</f>
        <v>0.26257878481018493</v>
      </c>
      <c r="I24" s="9">
        <f>'Profit and loss'!Z24/'Profit and loss'!P24</f>
        <v>6.4667924914540889E-2</v>
      </c>
      <c r="J24" s="9">
        <f>'Profit and loss'!P24/Balance!AY24</f>
        <v>5.1933551761856904</v>
      </c>
      <c r="K24" s="9">
        <f>LN(Balance!DQ24)</f>
        <v>16.418679165744084</v>
      </c>
      <c r="L24" s="9">
        <f>Balance!AW24/Balance!DA24</f>
        <v>0.18042413861217149</v>
      </c>
      <c r="M24" s="22">
        <f>'Profit and loss'!P24/Balance!DA24</f>
        <v>2.6952530033337241</v>
      </c>
      <c r="N24" s="9">
        <f>'Profit and loss'!AI24/(Balance!EK24+Balance!FU24)*100</f>
        <v>10.051875147654103</v>
      </c>
      <c r="O24" s="9">
        <f>(Balance!DS24-Balance!DU24+Balance!EQ24-Balance!ES24)/'Profit and loss'!Z24</f>
        <v>1.5065070559096088</v>
      </c>
    </row>
    <row r="25" spans="1:15" x14ac:dyDescent="0.25">
      <c r="A25" s="9">
        <v>6</v>
      </c>
      <c r="B25" s="1" t="s">
        <v>117</v>
      </c>
      <c r="C25" s="9">
        <v>2018</v>
      </c>
      <c r="D25" s="9">
        <f>'Profit and loss'!AU25/Balance!DQ25</f>
        <v>0.244155095283242</v>
      </c>
      <c r="E25" s="22">
        <f>(Balance!DS25-Balance!DU25+Balance!EQ25-Balance!ES25)/Balance!DQ25</f>
        <v>0.60278080440740167</v>
      </c>
      <c r="F25" s="9">
        <f>Balance!CY25/Balance!EQ25</f>
        <v>1.5341748147214262</v>
      </c>
      <c r="G25" s="9">
        <f>LN(Balance!DA25)</f>
        <v>17.115099155193288</v>
      </c>
      <c r="H25" s="9">
        <f>(Balance!GC25-Balance!FC25-Balance!ES25-Balance!EC25-Balance!DU25)/Balance!DA25</f>
        <v>0.26406115649668965</v>
      </c>
      <c r="I25" s="9">
        <f>'Profit and loss'!Z25/'Profit and loss'!P25</f>
        <v>6.4667924914540889E-2</v>
      </c>
      <c r="J25" s="9">
        <f>'Profit and loss'!P25/Balance!AY25</f>
        <v>3.0502138336295284</v>
      </c>
      <c r="K25" s="9">
        <f>LN(Balance!DQ25)</f>
        <v>16.289726262712112</v>
      </c>
      <c r="L25" s="9">
        <f>Balance!AW25/Balance!DA25</f>
        <v>0.13790361392347217</v>
      </c>
      <c r="M25" s="22">
        <f>'Profit and loss'!P25/Balance!DA25</f>
        <v>2.2444710137122734</v>
      </c>
      <c r="N25" s="9">
        <f>'Profit and loss'!AI25/(Balance!EK25+Balance!FU25)*100</f>
        <v>7.343497744861688</v>
      </c>
      <c r="O25" s="9">
        <f>(Balance!DS25-Balance!DU25+Balance!EQ25-Balance!ES25)/'Profit and loss'!Z25</f>
        <v>1.8192885849361904</v>
      </c>
    </row>
    <row r="26" spans="1:15" x14ac:dyDescent="0.25">
      <c r="A26" s="9">
        <v>7</v>
      </c>
      <c r="B26" s="1" t="s">
        <v>122</v>
      </c>
      <c r="C26" s="9">
        <v>2021</v>
      </c>
      <c r="D26" s="9">
        <f>'Profit and loss'!AU26/Balance!DQ26</f>
        <v>0.14397737622055723</v>
      </c>
      <c r="E26" s="22">
        <f>(Balance!DS26-Balance!DU26+Balance!EQ26-Balance!ES26)/Balance!DQ26</f>
        <v>2.1177541083079957E-3</v>
      </c>
      <c r="F26" s="9">
        <f>Balance!CY26/Balance!EQ26</f>
        <v>9.1004511071589409</v>
      </c>
      <c r="G26" s="9">
        <f>LN(Balance!DA26)</f>
        <v>16.504722494622936</v>
      </c>
      <c r="H26" s="9">
        <f>(Balance!GC26-Balance!FC26-Balance!ES26-Balance!EC26-Balance!DU26)/Balance!DA26</f>
        <v>1.9292705857193216E-3</v>
      </c>
      <c r="I26" s="9">
        <f>'Profit and loss'!Z26/'Profit and loss'!P26</f>
        <v>0.1187117627710742</v>
      </c>
      <c r="J26" s="9">
        <f>'Profit and loss'!P26/Balance!AY26</f>
        <v>14.700022068035342</v>
      </c>
      <c r="K26" s="9">
        <f>LN(Balance!DQ26)</f>
        <v>16.411508346976227</v>
      </c>
      <c r="L26" s="9">
        <f>Balance!AW26/Balance!DA26</f>
        <v>0.19004521105910427</v>
      </c>
      <c r="M26" s="22">
        <f>'Profit and loss'!P26/Balance!DA26</f>
        <v>1.4571366537566293</v>
      </c>
      <c r="N26" s="9" t="e">
        <f>'Profit and loss'!AI26/(Balance!EK26+Balance!FU26)*100</f>
        <v>#DIV/0!</v>
      </c>
      <c r="O26" s="9">
        <f>(Balance!DS26-Balance!DU26+Balance!EQ26-Balance!ES26)/'Profit and loss'!Z26</f>
        <v>1.1153190140704018E-2</v>
      </c>
    </row>
    <row r="27" spans="1:15" x14ac:dyDescent="0.25">
      <c r="A27" s="9">
        <v>7</v>
      </c>
      <c r="B27" s="1" t="s">
        <v>122</v>
      </c>
      <c r="C27" s="9">
        <v>2020</v>
      </c>
      <c r="D27" s="9">
        <f>'Profit and loss'!AU27/Balance!DQ27</f>
        <v>0.44871701432133659</v>
      </c>
      <c r="E27" s="22">
        <f>(Balance!DS27-Balance!DU27+Balance!EQ27-Balance!ES27)/Balance!DQ27</f>
        <v>0</v>
      </c>
      <c r="F27" s="9">
        <f>Balance!CY27/Balance!EQ27</f>
        <v>11.369263693830545</v>
      </c>
      <c r="G27" s="9">
        <f>LN(Balance!DA27)</f>
        <v>16.323263793906612</v>
      </c>
      <c r="H27" s="9">
        <f>(Balance!GC27-Balance!FC27-Balance!ES27-Balance!EC27-Balance!DU27)/Balance!DA27</f>
        <v>0</v>
      </c>
      <c r="I27" s="9">
        <f>'Profit and loss'!Z27/'Profit and loss'!P27</f>
        <v>0.24404231972977608</v>
      </c>
      <c r="J27" s="9">
        <f>'Profit and loss'!P27/Balance!AY27</f>
        <v>14.203956201834057</v>
      </c>
      <c r="K27" s="9">
        <f>LN(Balance!DQ27)</f>
        <v>16.256049894342784</v>
      </c>
      <c r="L27" s="9">
        <f>Balance!AW27/Balance!DA27</f>
        <v>0.26094311557288874</v>
      </c>
      <c r="M27" s="22">
        <f>'Profit and loss'!P27/Balance!DA27</f>
        <v>2.0283204841691922</v>
      </c>
      <c r="N27" s="9" t="e">
        <f>'Profit and loss'!AI27/(Balance!EK27+Balance!FU27)*100</f>
        <v>#DIV/0!</v>
      </c>
      <c r="O27" s="9">
        <f>(Balance!DS27-Balance!DU27+Balance!EQ27-Balance!ES27)/'Profit and loss'!Z27</f>
        <v>0</v>
      </c>
    </row>
    <row r="28" spans="1:15" x14ac:dyDescent="0.25">
      <c r="A28" s="9">
        <v>7</v>
      </c>
      <c r="B28" s="1" t="s">
        <v>122</v>
      </c>
      <c r="C28" s="9">
        <v>2019</v>
      </c>
      <c r="D28" s="9">
        <f>'Profit and loss'!AU28/Balance!DQ28</f>
        <v>0.56553952378909511</v>
      </c>
      <c r="E28" s="22">
        <f>(Balance!DS28-Balance!DU28+Balance!EQ28-Balance!ES28)/Balance!DQ28</f>
        <v>0</v>
      </c>
      <c r="F28" s="9">
        <f>Balance!CY28/Balance!EQ28</f>
        <v>5.4254103982895279</v>
      </c>
      <c r="G28" s="9">
        <f>LN(Balance!DA28)</f>
        <v>15.758612964711952</v>
      </c>
      <c r="H28" s="9">
        <f>(Balance!GC28-Balance!FC28-Balance!ES28-Balance!EC28-Balance!DU28)/Balance!DA28</f>
        <v>0</v>
      </c>
      <c r="I28" s="9">
        <f>'Profit and loss'!Z28/'Profit and loss'!P28</f>
        <v>0.22332461486629077</v>
      </c>
      <c r="J28" s="9">
        <f>'Profit and loss'!P28/Balance!AY28</f>
        <v>9.8489022266174544</v>
      </c>
      <c r="K28" s="9">
        <f>LN(Balance!DQ28)</f>
        <v>15.653424867977185</v>
      </c>
      <c r="L28" s="9">
        <f>Balance!AW28/Balance!DA28</f>
        <v>0.4583009318311006</v>
      </c>
      <c r="M28" s="22">
        <f>'Profit and loss'!P28/Balance!DA28</f>
        <v>2.6278269453085144</v>
      </c>
      <c r="N28" s="9" t="e">
        <f>'Profit and loss'!AI28/(Balance!EK28+Balance!FU28)*100</f>
        <v>#DIV/0!</v>
      </c>
      <c r="O28" s="9">
        <f>(Balance!DS28-Balance!DU28+Balance!EQ28-Balance!ES28)/'Profit and loss'!Z28</f>
        <v>0</v>
      </c>
    </row>
    <row r="29" spans="1:15" x14ac:dyDescent="0.25">
      <c r="A29" s="9">
        <v>7</v>
      </c>
      <c r="B29" s="8" t="s">
        <v>122</v>
      </c>
      <c r="C29" s="9">
        <v>2018</v>
      </c>
      <c r="D29" s="9">
        <f>'Profit and loss'!AU29/Balance!DQ29</f>
        <v>7.9493670087267529E-2</v>
      </c>
      <c r="E29" s="22">
        <f>(Balance!DS29-Balance!DU29+Balance!EQ29-Balance!ES29)/Balance!DQ29</f>
        <v>6.8154334860232339E-4</v>
      </c>
      <c r="F29" s="9">
        <f>Balance!CY29/Balance!EQ29</f>
        <v>0.78732285913429523</v>
      </c>
      <c r="G29" s="9">
        <f>LN(Balance!DA29)</f>
        <v>15.618724342005965</v>
      </c>
      <c r="H29" s="9">
        <f>(Balance!GC29-Balance!FC29-Balance!ES29-Balance!EC29-Balance!DU29)/Balance!DA29</f>
        <v>2.8471997839555349E-4</v>
      </c>
      <c r="I29" s="9">
        <f>'Profit and loss'!Z29/'Profit and loss'!P29</f>
        <v>2.5108232855963097E-2</v>
      </c>
      <c r="J29" s="9">
        <f>'Profit and loss'!P29/Balance!AY29</f>
        <v>5.3621635913618908</v>
      </c>
      <c r="K29" s="9">
        <f>LN(Balance!DQ29)</f>
        <v>14.745870650580931</v>
      </c>
      <c r="L29" s="9">
        <f>Balance!AW29/Balance!DA29</f>
        <v>0.54158732376566554</v>
      </c>
      <c r="M29" s="22">
        <f>'Profit and loss'!P29/Balance!DA29</f>
        <v>1.8044438395609512</v>
      </c>
      <c r="N29" s="9" t="e">
        <f>'Profit and loss'!AI29/(Balance!EK29+Balance!FU29)*100</f>
        <v>#DIV/0!</v>
      </c>
      <c r="O29" s="9">
        <f>(Balance!DS29-Balance!DU29+Balance!EQ29-Balance!ES29)/'Profit and loss'!Z29</f>
        <v>6.2843219260282938E-3</v>
      </c>
    </row>
    <row r="30" spans="1:15" x14ac:dyDescent="0.25">
      <c r="A30" s="9">
        <v>8</v>
      </c>
      <c r="B30" s="1" t="s">
        <v>124</v>
      </c>
      <c r="C30" s="9">
        <v>2021</v>
      </c>
      <c r="D30" s="9">
        <f>'Profit and loss'!AU30/Balance!DQ30</f>
        <v>3.8237839487738789E-2</v>
      </c>
      <c r="E30" s="22">
        <f>(Balance!DS30-Balance!DU30+Balance!EQ30-Balance!ES30)/Balance!DQ30</f>
        <v>0</v>
      </c>
      <c r="F30" s="9">
        <f>Balance!CY30/Balance!EQ30</f>
        <v>1.2341355687237212</v>
      </c>
      <c r="G30" s="9">
        <f>LN(Balance!DA30)</f>
        <v>18.667552938997979</v>
      </c>
      <c r="H30" s="9">
        <f>(Balance!GC30-Balance!FC30-Balance!ES30-Balance!EC30-Balance!DU30)/Balance!DA30</f>
        <v>0</v>
      </c>
      <c r="I30" s="9">
        <f>'Profit and loss'!Z30/'Profit and loss'!P30</f>
        <v>6.3923954341996325E-2</v>
      </c>
      <c r="J30" s="9">
        <f>'Profit and loss'!P30/Balance!AY30</f>
        <v>3.4936275296997725</v>
      </c>
      <c r="K30" s="9">
        <f>LN(Balance!DQ30)</f>
        <v>17.605180691923824</v>
      </c>
      <c r="L30" s="9">
        <f>Balance!AW30/Balance!DA30</f>
        <v>0.19242476210307796</v>
      </c>
      <c r="M30" s="22">
        <f>'Profit and loss'!P30/Balance!DA30</f>
        <v>0.26768873292793149</v>
      </c>
      <c r="N30" s="9" t="e">
        <f>'Profit and loss'!AI30/(Balance!EK30+Balance!FU30)*100</f>
        <v>#DIV/0!</v>
      </c>
      <c r="O30" s="9">
        <f>(Balance!DS30-Balance!DU30+Balance!EQ30-Balance!ES30)/'Profit and loss'!Z30</f>
        <v>0</v>
      </c>
    </row>
    <row r="31" spans="1:15" x14ac:dyDescent="0.25">
      <c r="A31" s="9">
        <v>8</v>
      </c>
      <c r="B31" s="1" t="s">
        <v>124</v>
      </c>
      <c r="C31" s="9">
        <v>2020</v>
      </c>
      <c r="D31" s="9">
        <f>'Profit and loss'!AU31/Balance!DQ31</f>
        <v>4.2251898953829331E-2</v>
      </c>
      <c r="E31" s="22">
        <f>(Balance!DS31-Balance!DU31+Balance!EQ31-Balance!ES31)/Balance!DQ31</f>
        <v>0</v>
      </c>
      <c r="F31" s="9">
        <f>Balance!CY31/Balance!EQ31</f>
        <v>1.2603726446409871</v>
      </c>
      <c r="G31" s="9">
        <f>LN(Balance!DA31)</f>
        <v>18.545626316180755</v>
      </c>
      <c r="H31" s="9">
        <f>(Balance!GC31-Balance!FC31-Balance!ES31-Balance!EC31-Balance!DU31)/Balance!DA31</f>
        <v>0</v>
      </c>
      <c r="I31" s="9">
        <f>'Profit and loss'!Z31/'Profit and loss'!P31</f>
        <v>5.9600767513025517E-2</v>
      </c>
      <c r="J31" s="9">
        <f>'Profit and loss'!P31/Balance!AY31</f>
        <v>4.2987985188800506</v>
      </c>
      <c r="K31" s="9">
        <f>LN(Balance!DQ31)</f>
        <v>17.566258659773474</v>
      </c>
      <c r="L31" s="9">
        <f>Balance!AW31/Balance!DA31</f>
        <v>0.21295841082886874</v>
      </c>
      <c r="M31" s="22">
        <f>'Profit and loss'!P31/Balance!DA31</f>
        <v>0.33191865498598438</v>
      </c>
      <c r="N31" s="9" t="e">
        <f>'Profit and loss'!AI31/(Balance!EK31+Balance!FU31)*100</f>
        <v>#DIV/0!</v>
      </c>
      <c r="O31" s="9">
        <f>(Balance!DS31-Balance!DU31+Balance!EQ31-Balance!ES31)/'Profit and loss'!Z31</f>
        <v>0</v>
      </c>
    </row>
    <row r="32" spans="1:15" x14ac:dyDescent="0.25">
      <c r="A32" s="9">
        <v>8</v>
      </c>
      <c r="B32" s="1" t="s">
        <v>124</v>
      </c>
      <c r="C32" s="9">
        <v>2019</v>
      </c>
      <c r="D32" s="9">
        <f>'Profit and loss'!AU32/Balance!DQ32</f>
        <v>0.15506082259378501</v>
      </c>
      <c r="E32" s="22">
        <f>(Balance!DS32-Balance!DU32+Balance!EQ32-Balance!ES32)/Balance!DQ32</f>
        <v>0</v>
      </c>
      <c r="F32" s="9">
        <f>Balance!CY32/Balance!EQ32</f>
        <v>1.3364074077781889</v>
      </c>
      <c r="G32" s="9">
        <f>LN(Balance!DA32)</f>
        <v>18.219657414099792</v>
      </c>
      <c r="H32" s="9">
        <f>(Balance!GC32-Balance!FC32-Balance!ES32-Balance!EC32-Balance!DU32)/Balance!DA32</f>
        <v>0</v>
      </c>
      <c r="I32" s="9">
        <f>'Profit and loss'!Z32/'Profit and loss'!P32</f>
        <v>0.14985493807288172</v>
      </c>
      <c r="J32" s="9">
        <f>'Profit and loss'!P32/Balance!AY32</f>
        <v>6.6631652166534403</v>
      </c>
      <c r="K32" s="9">
        <f>LN(Balance!DQ32)</f>
        <v>17.512738565721428</v>
      </c>
      <c r="L32" s="9">
        <f>Balance!AW32/Balance!DA32</f>
        <v>0.32265709215021737</v>
      </c>
      <c r="M32" s="22">
        <f>'Profit and loss'!P32/Balance!DA32</f>
        <v>0.58373207215830769</v>
      </c>
      <c r="N32" s="9" t="e">
        <f>'Profit and loss'!AI32/(Balance!EK32+Balance!FU32)*100</f>
        <v>#DIV/0!</v>
      </c>
      <c r="O32" s="9">
        <f>(Balance!DS32-Balance!DU32+Balance!EQ32-Balance!ES32)/'Profit and loss'!Z32</f>
        <v>0</v>
      </c>
    </row>
    <row r="33" spans="1:15" x14ac:dyDescent="0.25">
      <c r="A33" s="9">
        <v>8</v>
      </c>
      <c r="B33" s="8" t="s">
        <v>124</v>
      </c>
      <c r="C33" s="9">
        <v>2018</v>
      </c>
      <c r="D33" s="9">
        <f>'Profit and loss'!AU33/Balance!DQ33</f>
        <v>0.57534269336213339</v>
      </c>
      <c r="E33" s="22">
        <f>(Balance!DS33-Balance!DU33+Balance!EQ33-Balance!ES33)/Balance!DQ33</f>
        <v>0.34031615370679363</v>
      </c>
      <c r="F33" s="9">
        <f>Balance!CY33/Balance!EQ33</f>
        <v>1.18495569211242</v>
      </c>
      <c r="G33" s="9">
        <f>LN(Balance!DA33)</f>
        <v>16.984528226562453</v>
      </c>
      <c r="H33" s="9">
        <f>(Balance!GC33-Balance!FC33-Balance!ES33-Balance!EC33-Balance!DU33)/Balance!DA33</f>
        <v>7.1476295370156609E-2</v>
      </c>
      <c r="I33" s="9">
        <f>'Profit and loss'!Z33/'Profit and loss'!P33</f>
        <v>4.4175133507143145E-2</v>
      </c>
      <c r="J33" s="9">
        <f>'Profit and loss'!P33/Balance!AY33</f>
        <v>38.114343970133952</v>
      </c>
      <c r="K33" s="9">
        <f>LN(Balance!DQ33)</f>
        <v>15.424019038610433</v>
      </c>
      <c r="L33" s="9">
        <f>Balance!AW33/Balance!DA33</f>
        <v>6.3919485064586612E-2</v>
      </c>
      <c r="M33" s="22">
        <f>'Profit and loss'!P33/Balance!DA33</f>
        <v>3.2640433576889509</v>
      </c>
      <c r="N33" s="9" t="e">
        <f>'Profit and loss'!AI33/(Balance!EK33+Balance!FU33)*100</f>
        <v>#DIV/0!</v>
      </c>
      <c r="O33" s="9">
        <f>(Balance!DS33-Balance!DU33+Balance!EQ33-Balance!ES33)/'Profit and loss'!Z33</f>
        <v>0.49571064494870853</v>
      </c>
    </row>
    <row r="34" spans="1:15" x14ac:dyDescent="0.25">
      <c r="A34" s="9">
        <v>9</v>
      </c>
      <c r="B34" s="1" t="s">
        <v>125</v>
      </c>
      <c r="C34" s="9">
        <v>2021</v>
      </c>
      <c r="D34" s="9">
        <f>'Profit and loss'!AU34/Balance!DQ34</f>
        <v>-6.7021097168848076E-2</v>
      </c>
      <c r="E34" s="22">
        <f>(Balance!DS34-Balance!DU34+Balance!EQ34-Balance!ES34)/Balance!DQ34</f>
        <v>0</v>
      </c>
      <c r="F34" s="9">
        <f>Balance!CY34/Balance!EQ34</f>
        <v>10.063030861130969</v>
      </c>
      <c r="G34" s="9">
        <f>LN(Balance!DA34)</f>
        <v>13.985534305732935</v>
      </c>
      <c r="H34" s="9">
        <f>(Balance!GC34-Balance!FC34-Balance!ES34-Balance!EC34-Balance!DU34)/Balance!DA34</f>
        <v>0</v>
      </c>
      <c r="I34" s="9">
        <f>'Profit and loss'!Z34/'Profit and loss'!P34</f>
        <v>0</v>
      </c>
      <c r="J34" s="9">
        <f>'Profit and loss'!P34/Balance!AY34</f>
        <v>3.1061671772932478</v>
      </c>
      <c r="K34" s="9">
        <f>LN(Balance!DQ34)</f>
        <v>13.913364771695605</v>
      </c>
      <c r="L34" s="9">
        <f>Balance!AW34/Balance!DA34</f>
        <v>0.29934288507955148</v>
      </c>
      <c r="M34" s="22">
        <f>'Profit and loss'!P34/Balance!DA34</f>
        <v>1.2752855104852392</v>
      </c>
      <c r="N34" s="9" t="e">
        <f>'Profit and loss'!AI34/(Balance!EK34+Balance!FU34)*100</f>
        <v>#DIV/0!</v>
      </c>
      <c r="O34" s="9" t="e">
        <f>(Balance!DS34-Balance!DU34+Balance!EQ34-Balance!ES34)/'Profit and loss'!Z34</f>
        <v>#DIV/0!</v>
      </c>
    </row>
    <row r="35" spans="1:15" x14ac:dyDescent="0.25">
      <c r="A35" s="9">
        <v>9</v>
      </c>
      <c r="B35" s="1" t="s">
        <v>125</v>
      </c>
      <c r="C35" s="9">
        <v>2020</v>
      </c>
      <c r="D35" s="9">
        <f>'Profit and loss'!AU35/Balance!DQ35</f>
        <v>1.487665056827971E-2</v>
      </c>
      <c r="E35" s="22">
        <f>(Balance!DS35-Balance!DU35+Balance!EQ35-Balance!ES35)/Balance!DQ35</f>
        <v>0</v>
      </c>
      <c r="F35" s="9">
        <f>Balance!CY35/Balance!EQ35</f>
        <v>10.063030861130969</v>
      </c>
      <c r="G35" s="9">
        <f>LN(Balance!DA35)</f>
        <v>13.985534305732935</v>
      </c>
      <c r="H35" s="9">
        <f>(Balance!GC35-Balance!FC35-Balance!ES35-Balance!EC35-Balance!DU35)/Balance!DA35</f>
        <v>0</v>
      </c>
      <c r="I35" s="9">
        <f>'Profit and loss'!Z35/'Profit and loss'!P35</f>
        <v>0</v>
      </c>
      <c r="J35" s="9">
        <f>'Profit and loss'!P35/Balance!AY35</f>
        <v>2.8555861726020586</v>
      </c>
      <c r="K35" s="9">
        <f>LN(Balance!DQ35)</f>
        <v>13.913364771695605</v>
      </c>
      <c r="L35" s="9">
        <f>Balance!AW35/Balance!DA35</f>
        <v>0.29934288507955148</v>
      </c>
      <c r="M35" s="22">
        <f>'Profit and loss'!P35/Balance!DA35</f>
        <v>1.1724055602940271</v>
      </c>
      <c r="N35" s="9" t="e">
        <f>'Profit and loss'!AI35/(Balance!EK35+Balance!FU35)*100</f>
        <v>#DIV/0!</v>
      </c>
      <c r="O35" s="9" t="e">
        <f>(Balance!DS35-Balance!DU35+Balance!EQ35-Balance!ES35)/'Profit and loss'!Z35</f>
        <v>#DIV/0!</v>
      </c>
    </row>
    <row r="36" spans="1:15" x14ac:dyDescent="0.25">
      <c r="A36" s="9">
        <v>9</v>
      </c>
      <c r="B36" s="1" t="s">
        <v>125</v>
      </c>
      <c r="C36" s="9">
        <v>2019</v>
      </c>
      <c r="D36" s="9">
        <f>'Profit and loss'!AU36/Balance!DQ36</f>
        <v>-0.3387696303075759</v>
      </c>
      <c r="E36" s="22">
        <f>(Balance!DS36-Balance!DU36+Balance!EQ36-Balance!ES36)/Balance!DQ36</f>
        <v>0</v>
      </c>
      <c r="F36" s="9">
        <f>Balance!CY36/Balance!EQ36</f>
        <v>1.4216934458255079</v>
      </c>
      <c r="G36" s="9">
        <f>LN(Balance!DA36)</f>
        <v>14.152177775575458</v>
      </c>
      <c r="H36" s="9">
        <f>(Balance!GC36-Balance!FC36-Balance!ES36-Balance!EC36-Balance!DU36)/Balance!DA36</f>
        <v>0</v>
      </c>
      <c r="I36" s="9">
        <f>'Profit and loss'!Z36/'Profit and loss'!P36</f>
        <v>0</v>
      </c>
      <c r="J36" s="9">
        <f>'Profit and loss'!P36/Balance!AY36</f>
        <v>3.6931919430377338</v>
      </c>
      <c r="K36" s="9">
        <f>LN(Balance!DQ36)</f>
        <v>13.313502610639235</v>
      </c>
      <c r="L36" s="9">
        <f>Balance!AW36/Balance!DA36</f>
        <v>0.19288024549498561</v>
      </c>
      <c r="M36" s="22">
        <f>'Profit and loss'!P36/Balance!DA36</f>
        <v>0.69268135570706568</v>
      </c>
      <c r="N36" s="9" t="e">
        <f>'Profit and loss'!AI36/(Balance!EK36+Balance!FU36)*100</f>
        <v>#DIV/0!</v>
      </c>
      <c r="O36" s="9" t="e">
        <f>(Balance!DS36-Balance!DU36+Balance!EQ36-Balance!ES36)/'Profit and loss'!Z36</f>
        <v>#DIV/0!</v>
      </c>
    </row>
    <row r="37" spans="1:15" x14ac:dyDescent="0.25">
      <c r="A37" s="9">
        <v>9</v>
      </c>
      <c r="B37" s="8" t="s">
        <v>125</v>
      </c>
      <c r="C37" s="9">
        <v>2018</v>
      </c>
      <c r="D37" s="9">
        <f>'Profit and loss'!AU37/Balance!DQ37</f>
        <v>0.13792101309028401</v>
      </c>
      <c r="E37" s="22">
        <f>(Balance!DS37-Balance!DU37+Balance!EQ37-Balance!ES37)/Balance!DQ37</f>
        <v>0</v>
      </c>
      <c r="F37" s="9">
        <f>Balance!CY37/Balance!EQ37</f>
        <v>6.0301049323831437</v>
      </c>
      <c r="G37" s="9">
        <f>LN(Balance!DA37)</f>
        <v>13.727270426364807</v>
      </c>
      <c r="H37" s="9">
        <f>(Balance!GC37-Balance!FC37-Balance!ES37-Balance!EC37-Balance!DU37)/Balance!DA37</f>
        <v>0</v>
      </c>
      <c r="I37" s="9">
        <f>'Profit and loss'!Z37/'Profit and loss'!P37</f>
        <v>8.4166929716667935E-2</v>
      </c>
      <c r="J37" s="9">
        <f>'Profit and loss'!P37/Balance!AY37</f>
        <v>2.8199453635777649</v>
      </c>
      <c r="K37" s="9">
        <f>LN(Balance!DQ37)</f>
        <v>13.603078186597999</v>
      </c>
      <c r="L37" s="9">
        <f>Balance!AW37/Balance!DA37</f>
        <v>0.29574426486634681</v>
      </c>
      <c r="M37" s="22">
        <f>'Profit and loss'!P37/Balance!DA37</f>
        <v>0.80276907314909984</v>
      </c>
      <c r="N37" s="9" t="e">
        <f>'Profit and loss'!AI37/(Balance!EK37+Balance!FU37)*100</f>
        <v>#DIV/0!</v>
      </c>
      <c r="O37" s="9">
        <f>(Balance!DS37-Balance!DU37+Balance!EQ37-Balance!ES37)/'Profit and loss'!Z37</f>
        <v>0</v>
      </c>
    </row>
    <row r="38" spans="1:15" x14ac:dyDescent="0.25">
      <c r="A38" s="9">
        <v>10</v>
      </c>
      <c r="B38" s="1" t="s">
        <v>126</v>
      </c>
      <c r="C38" s="9">
        <v>2021</v>
      </c>
      <c r="D38" s="9">
        <f>'Profit and loss'!AU38/Balance!DQ38</f>
        <v>0.11014617625447126</v>
      </c>
      <c r="E38" s="22">
        <f>(Balance!DS38-Balance!DU38+Balance!EQ38-Balance!ES38)/Balance!DQ38</f>
        <v>6.8530392153205943E-2</v>
      </c>
      <c r="F38" s="9">
        <f>Balance!CY38/Balance!EQ38</f>
        <v>3.1739047421915147</v>
      </c>
      <c r="G38" s="9">
        <f>LN(Balance!DA38)</f>
        <v>16.296803854112433</v>
      </c>
      <c r="H38" s="9">
        <f>(Balance!GC38-Balance!FC38-Balance!ES38-Balance!EC38-Balance!DU38)/Balance!DA38</f>
        <v>4.6098937852343765E-2</v>
      </c>
      <c r="I38" s="9">
        <f>'Profit and loss'!Z38/'Profit and loss'!P38</f>
        <v>7.6169488226453405E-2</v>
      </c>
      <c r="J38" s="9">
        <f>'Profit and loss'!P38/Balance!AY38</f>
        <v>1.6528820934126947</v>
      </c>
      <c r="K38" s="9">
        <f>LN(Balance!DQ38)</f>
        <v>15.90031643583076</v>
      </c>
      <c r="L38" s="9">
        <f>Balance!AW38/Balance!DA38</f>
        <v>0.10742713845053467</v>
      </c>
      <c r="M38" s="22">
        <f>'Profit and loss'!P38/Balance!DA38</f>
        <v>1.1790757296442052</v>
      </c>
      <c r="N38" s="9">
        <f>'Profit and loss'!AI38/(Balance!EK38+Balance!FU38)*100</f>
        <v>0</v>
      </c>
      <c r="O38" s="9">
        <f>(Balance!DS38-Balance!DU38+Balance!EQ38-Balance!ES38)/'Profit and loss'!Z38</f>
        <v>0.51329635658597095</v>
      </c>
    </row>
    <row r="39" spans="1:15" x14ac:dyDescent="0.25">
      <c r="A39" s="9">
        <v>10</v>
      </c>
      <c r="B39" s="1" t="s">
        <v>126</v>
      </c>
      <c r="C39" s="9">
        <v>2020</v>
      </c>
      <c r="D39" s="9">
        <f>'Profit and loss'!AU39/Balance!DQ39</f>
        <v>0.19623857105355758</v>
      </c>
      <c r="E39" s="22">
        <f>(Balance!DS39-Balance!DU39+Balance!EQ39-Balance!ES39)/Balance!DQ39</f>
        <v>0</v>
      </c>
      <c r="F39" s="9">
        <f>Balance!CY39/Balance!EQ39</f>
        <v>4.857629134842453</v>
      </c>
      <c r="G39" s="9">
        <f>LN(Balance!DA39)</f>
        <v>15.984809713921395</v>
      </c>
      <c r="H39" s="9">
        <f>(Balance!GC39-Balance!FC39-Balance!ES39-Balance!EC39-Balance!DU39)/Balance!DA39</f>
        <v>0</v>
      </c>
      <c r="I39" s="9">
        <f>'Profit and loss'!Z39/'Profit and loss'!P39</f>
        <v>0.1212921089284721</v>
      </c>
      <c r="J39" s="9">
        <f>'Profit and loss'!P39/Balance!AY39</f>
        <v>2.8983799741606031</v>
      </c>
      <c r="K39" s="9">
        <f>LN(Balance!DQ39)</f>
        <v>15.784249562988148</v>
      </c>
      <c r="L39" s="9">
        <f>Balance!AW39/Balance!DA39</f>
        <v>0.11723407785151714</v>
      </c>
      <c r="M39" s="22">
        <f>'Profit and loss'!P39/Balance!DA39</f>
        <v>1.6186824080214366</v>
      </c>
      <c r="N39" s="9" t="e">
        <f>'Profit and loss'!AI39/(Balance!EK39+Balance!FU39)*100</f>
        <v>#DIV/0!</v>
      </c>
      <c r="O39" s="9">
        <f>(Balance!DS39-Balance!DU39+Balance!EQ39-Balance!ES39)/'Profit and loss'!Z39</f>
        <v>0</v>
      </c>
    </row>
    <row r="40" spans="1:15" x14ac:dyDescent="0.25">
      <c r="A40" s="9">
        <v>10</v>
      </c>
      <c r="B40" s="1" t="s">
        <v>126</v>
      </c>
      <c r="C40" s="9">
        <v>2019</v>
      </c>
      <c r="D40" s="9">
        <f>'Profit and loss'!AU40/Balance!DQ40</f>
        <v>0.115296303513947</v>
      </c>
      <c r="E40" s="22">
        <f>(Balance!DS40-Balance!DU40+Balance!EQ40-Balance!ES40)/Balance!DQ40</f>
        <v>0</v>
      </c>
      <c r="F40" s="9">
        <f>Balance!CY40/Balance!EQ40</f>
        <v>4.7534318619970737</v>
      </c>
      <c r="G40" s="9">
        <f>LN(Balance!DA40)</f>
        <v>15.758576666567853</v>
      </c>
      <c r="H40" s="9">
        <f>(Balance!GC40-Balance!FC40-Balance!ES40-Balance!EC40-Balance!DU40)/Balance!DA40</f>
        <v>0</v>
      </c>
      <c r="I40" s="9">
        <f>'Profit and loss'!Z40/'Profit and loss'!P40</f>
        <v>9.2153498659013428E-2</v>
      </c>
      <c r="J40" s="9">
        <f>'Profit and loss'!P40/Balance!AY40</f>
        <v>1.4455389752132832</v>
      </c>
      <c r="K40" s="9">
        <f>LN(Balance!DQ40)</f>
        <v>15.557059655004744</v>
      </c>
      <c r="L40" s="9">
        <f>Balance!AW40/Balance!DA40</f>
        <v>0.13244958539394738</v>
      </c>
      <c r="M40" s="22">
        <f>'Profit and loss'!P40/Balance!DA40</f>
        <v>1.1697874821636305</v>
      </c>
      <c r="N40" s="9" t="e">
        <f>'Profit and loss'!AI40/(Balance!EK40+Balance!FU40)*100</f>
        <v>#DIV/0!</v>
      </c>
      <c r="O40" s="9">
        <f>(Balance!DS40-Balance!DU40+Balance!EQ40-Balance!ES40)/'Profit and loss'!Z40</f>
        <v>0</v>
      </c>
    </row>
    <row r="41" spans="1:15" x14ac:dyDescent="0.25">
      <c r="A41" s="9">
        <v>10</v>
      </c>
      <c r="B41" s="8" t="s">
        <v>126</v>
      </c>
      <c r="C41" s="9">
        <v>2018</v>
      </c>
      <c r="D41" s="9">
        <f>'Profit and loss'!AU41/Balance!DQ41</f>
        <v>0.21459452570877854</v>
      </c>
      <c r="E41" s="22">
        <f>(Balance!DS41-Balance!DU41+Balance!EQ41-Balance!ES41)/Balance!DQ41</f>
        <v>1.5929844962783899E-3</v>
      </c>
      <c r="F41" s="9">
        <f>Balance!CY41/Balance!EQ41</f>
        <v>3.8935176025603724</v>
      </c>
      <c r="G41" s="9">
        <f>LN(Balance!DA41)</f>
        <v>15.671311549846612</v>
      </c>
      <c r="H41" s="9">
        <f>(Balance!GC41-Balance!FC41-Balance!ES41-Balance!EC41-Balance!DU41)/Balance!DA41</f>
        <v>0</v>
      </c>
      <c r="I41" s="9">
        <f>'Profit and loss'!Z41/'Profit and loss'!P41</f>
        <v>0.13444016399938691</v>
      </c>
      <c r="J41" s="9">
        <f>'Profit and loss'!P41/Balance!AY41</f>
        <v>2.1840288925658182</v>
      </c>
      <c r="K41" s="9">
        <f>LN(Balance!DQ41)</f>
        <v>15.429342801168838</v>
      </c>
      <c r="L41" s="9">
        <f>Balance!AW41/Balance!DA41</f>
        <v>0.16320796895957679</v>
      </c>
      <c r="M41" s="22">
        <f>'Profit and loss'!P41/Balance!DA41</f>
        <v>1.4951844822896376</v>
      </c>
      <c r="N41" s="9" t="e">
        <f>'Profit and loss'!AI41/(Balance!EK41+Balance!FU41)*100</f>
        <v>#DIV/0!</v>
      </c>
      <c r="O41" s="9">
        <f>(Balance!DS41-Balance!DU41+Balance!EQ41-Balance!ES41)/'Profit and loss'!Z41</f>
        <v>6.2215993709963035E-3</v>
      </c>
    </row>
    <row r="42" spans="1:15" x14ac:dyDescent="0.25">
      <c r="A42" s="9">
        <v>11</v>
      </c>
      <c r="B42" s="1" t="s">
        <v>127</v>
      </c>
      <c r="C42" s="9">
        <v>2021</v>
      </c>
      <c r="D42" s="9">
        <f>'Profit and loss'!AU42/Balance!DQ42</f>
        <v>0.11778646512997058</v>
      </c>
      <c r="E42" s="22">
        <f>(Balance!DS42-Balance!DU42+Balance!EQ42-Balance!ES42)/Balance!DQ42</f>
        <v>7.44482663081137E-2</v>
      </c>
      <c r="F42" s="9">
        <f>Balance!CY42/Balance!EQ42</f>
        <v>5.3090883209800825</v>
      </c>
      <c r="G42" s="9">
        <f>LN(Balance!DA42)</f>
        <v>17.876043685139724</v>
      </c>
      <c r="H42" s="9">
        <f>(Balance!GC42-Balance!FC42-Balance!ES42-Balance!EC42-Balance!DU42)/Balance!DA42</f>
        <v>5.2221069663256382E-2</v>
      </c>
      <c r="I42" s="9">
        <f>'Profit and loss'!Z42/'Profit and loss'!P42</f>
        <v>0.1363446178051059</v>
      </c>
      <c r="J42" s="9">
        <f>'Profit and loss'!P42/Balance!AY42</f>
        <v>6.4123128975385058</v>
      </c>
      <c r="K42" s="9">
        <f>LN(Balance!DQ42)</f>
        <v>17.521425259787769</v>
      </c>
      <c r="L42" s="9">
        <f>Balance!AW42/Balance!DA42</f>
        <v>0.3287137381601834</v>
      </c>
      <c r="M42" s="22">
        <f>'Profit and loss'!P42/Balance!DA42</f>
        <v>0.90466088513023146</v>
      </c>
      <c r="N42" s="9">
        <f>'Profit and loss'!AI42/(Balance!EK42+Balance!FU42)*100</f>
        <v>75.991669716636338</v>
      </c>
      <c r="O42" s="9">
        <f>(Balance!DS42-Balance!DU42+Balance!EQ42-Balance!ES42)/'Profit and loss'!Z42</f>
        <v>0.42337182369275994</v>
      </c>
    </row>
    <row r="43" spans="1:15" x14ac:dyDescent="0.25">
      <c r="A43" s="9">
        <v>11</v>
      </c>
      <c r="B43" s="1" t="s">
        <v>127</v>
      </c>
      <c r="C43" s="9">
        <v>2020</v>
      </c>
      <c r="D43" s="9">
        <f>'Profit and loss'!AU43/Balance!DQ43</f>
        <v>0.11969134396566908</v>
      </c>
      <c r="E43" s="22">
        <f>(Balance!DS43-Balance!DU43+Balance!EQ43-Balance!ES43)/Balance!DQ43</f>
        <v>7.8567891275003326E-2</v>
      </c>
      <c r="F43" s="9">
        <f>Balance!CY43/Balance!EQ43</f>
        <v>4.6099389015131429</v>
      </c>
      <c r="G43" s="9">
        <f>LN(Balance!DA43)</f>
        <v>17.613951953398665</v>
      </c>
      <c r="H43" s="9">
        <f>(Balance!GC43-Balance!FC43-Balance!ES43-Balance!EC43-Balance!DU43)/Balance!DA43</f>
        <v>6.1716490082058213E-2</v>
      </c>
      <c r="I43" s="9">
        <f>'Profit and loss'!Z43/'Profit and loss'!P43</f>
        <v>0.18551829404415765</v>
      </c>
      <c r="J43" s="9">
        <f>'Profit and loss'!P43/Balance!AY43</f>
        <v>6.1420435573621601</v>
      </c>
      <c r="K43" s="9">
        <f>LN(Balance!DQ43)</f>
        <v>17.37254000285035</v>
      </c>
      <c r="L43" s="9">
        <f>Balance!AW43/Balance!DA43</f>
        <v>0.28287007081708959</v>
      </c>
      <c r="M43" s="22">
        <f>'Profit and loss'!P43/Balance!DA43</f>
        <v>0.56836693802782201</v>
      </c>
      <c r="N43" s="9">
        <f>'Profit and loss'!AI43/(Balance!EK43+Balance!FU43)*100</f>
        <v>6.6880217206866526</v>
      </c>
      <c r="O43" s="9">
        <f>(Balance!DS43-Balance!DU43+Balance!EQ43-Balance!ES43)/'Profit and loss'!Z43</f>
        <v>0.58530963059083596</v>
      </c>
    </row>
    <row r="44" spans="1:15" x14ac:dyDescent="0.25">
      <c r="A44" s="9">
        <v>11</v>
      </c>
      <c r="B44" s="1" t="s">
        <v>127</v>
      </c>
      <c r="C44" s="9">
        <v>2019</v>
      </c>
      <c r="D44" s="9">
        <f>'Profit and loss'!AU44/Balance!DQ44</f>
        <v>4.1790704597314973E-4</v>
      </c>
      <c r="E44" s="22">
        <f>(Balance!DS44-Balance!DU44+Balance!EQ44-Balance!ES44)/Balance!DQ44</f>
        <v>1.6854059097812703E-2</v>
      </c>
      <c r="F44" s="9">
        <f>Balance!CY44/Balance!EQ44</f>
        <v>6.9685512083060432</v>
      </c>
      <c r="G44" s="9">
        <f>LN(Balance!DA44)</f>
        <v>17.34982571338913</v>
      </c>
      <c r="H44" s="9">
        <f>(Balance!GC44-Balance!FC44-Balance!ES44-Balance!EC44-Balance!DU44)/Balance!DA44</f>
        <v>1.5155609016181825E-2</v>
      </c>
      <c r="I44" s="9">
        <f>'Profit and loss'!Z44/'Profit and loss'!P44</f>
        <v>2.7424826626710631E-2</v>
      </c>
      <c r="J44" s="9">
        <f>'Profit and loss'!P44/Balance!AY44</f>
        <v>7.1847794618819769</v>
      </c>
      <c r="K44" s="9">
        <f>LN(Balance!DQ44)</f>
        <v>17.243604885116518</v>
      </c>
      <c r="L44" s="9">
        <f>Balance!AW44/Balance!DA44</f>
        <v>0.29775158020346681</v>
      </c>
      <c r="M44" s="22">
        <f>'Profit and loss'!P44/Balance!DA44</f>
        <v>0.18393091573135212</v>
      </c>
      <c r="N44" s="9" t="e">
        <f>'Profit and loss'!AI44/(Balance!EK44+Balance!FU44)*100</f>
        <v>#DIV/0!</v>
      </c>
      <c r="O44" s="9">
        <f>(Balance!DS44-Balance!DU44+Balance!EQ44-Balance!ES44)/'Profit and loss'!Z44</f>
        <v>3.0045177151120752</v>
      </c>
    </row>
    <row r="45" spans="1:15" x14ac:dyDescent="0.25">
      <c r="A45" s="9">
        <v>11</v>
      </c>
      <c r="B45" s="8" t="s">
        <v>127</v>
      </c>
      <c r="C45" s="9">
        <v>2018</v>
      </c>
      <c r="D45" s="9">
        <f>'Profit and loss'!AU45/Balance!DQ45</f>
        <v>3.0242527081268929E-3</v>
      </c>
      <c r="E45" s="22">
        <f>(Balance!DS45-Balance!DU45+Balance!EQ45-Balance!ES45)/Balance!DQ45</f>
        <v>2.8666371751227732E-2</v>
      </c>
      <c r="F45" s="9">
        <f>Balance!CY45/Balance!EQ45</f>
        <v>7.6205760814389398</v>
      </c>
      <c r="G45" s="9">
        <f>LN(Balance!DA45)</f>
        <v>17.350060807983109</v>
      </c>
      <c r="H45" s="9">
        <f>(Balance!GC45-Balance!FC45-Balance!ES45-Balance!EC45-Balance!DU45)/Balance!DA45</f>
        <v>2.5748817211779112E-2</v>
      </c>
      <c r="I45" s="9">
        <f>'Profit and loss'!Z45/'Profit and loss'!P45</f>
        <v>0.11909801175987614</v>
      </c>
      <c r="J45" s="9">
        <f>'Profit and loss'!P45/Balance!AY45</f>
        <v>2.7212233593501813</v>
      </c>
      <c r="K45" s="9">
        <f>LN(Balance!DQ45)</f>
        <v>17.242724780730128</v>
      </c>
      <c r="L45" s="9">
        <f>Balance!AW45/Balance!DA45</f>
        <v>0.22440668346305384</v>
      </c>
      <c r="M45" s="22">
        <f>'Profit and loss'!P45/Balance!DA45</f>
        <v>9.0458568441621562E-2</v>
      </c>
      <c r="N45" s="9" t="e">
        <f>'Profit and loss'!AI45/(Balance!EK45+Balance!FU45)*100</f>
        <v>#DIV/0!</v>
      </c>
      <c r="O45" s="9">
        <f>(Balance!DS45-Balance!DU45+Balance!EQ45-Balance!ES45)/'Profit and loss'!Z45</f>
        <v>2.3900284043984845</v>
      </c>
    </row>
    <row r="46" spans="1:15" x14ac:dyDescent="0.25">
      <c r="A46" s="9">
        <v>12</v>
      </c>
      <c r="B46" s="1" t="s">
        <v>128</v>
      </c>
      <c r="C46" s="9">
        <v>2021</v>
      </c>
      <c r="D46" s="9">
        <f>'Profit and loss'!AU46/Balance!DQ46</f>
        <v>1.7684495686675836E-2</v>
      </c>
      <c r="E46" s="22">
        <f>(Balance!DS46-Balance!DU46+Balance!EQ46-Balance!ES46)/Balance!DQ46</f>
        <v>7.4687569145355879E-3</v>
      </c>
      <c r="F46" s="9">
        <f>Balance!CY46/Balance!EQ46</f>
        <v>2.6510262406087635</v>
      </c>
      <c r="G46" s="9">
        <f>LN(Balance!DA46)</f>
        <v>17.764112019626584</v>
      </c>
      <c r="H46" s="9">
        <f>(Balance!GC46-Balance!FC46-Balance!ES46-Balance!EC46-Balance!DU46)/Balance!DA46</f>
        <v>5.8843158130500667E-3</v>
      </c>
      <c r="I46" s="9">
        <f>'Profit and loss'!Z46/'Profit and loss'!P46</f>
        <v>9.4454013525342162E-2</v>
      </c>
      <c r="J46" s="9">
        <f>'Profit and loss'!P46/Balance!AY46</f>
        <v>1.5731220580552423</v>
      </c>
      <c r="K46" s="9">
        <f>LN(Balance!DQ46)</f>
        <v>17.525673919188524</v>
      </c>
      <c r="L46" s="9">
        <f>Balance!AW46/Balance!DA46</f>
        <v>0.60348690498373558</v>
      </c>
      <c r="M46" s="22">
        <f>'Profit and loss'!P46/Balance!DA46</f>
        <v>0.40879768428937407</v>
      </c>
      <c r="N46" s="9">
        <f>'Profit and loss'!AI46/(Balance!EK46+Balance!FU46)*100</f>
        <v>370.58610399021342</v>
      </c>
      <c r="O46" s="9">
        <f>(Balance!DS46-Balance!DU46+Balance!EQ46-Balance!ES46)/'Profit and loss'!Z46</f>
        <v>0.15239374079925855</v>
      </c>
    </row>
    <row r="47" spans="1:15" x14ac:dyDescent="0.25">
      <c r="A47" s="9">
        <v>12</v>
      </c>
      <c r="B47" s="1" t="s">
        <v>128</v>
      </c>
      <c r="C47" s="9">
        <v>2020</v>
      </c>
      <c r="D47" s="9">
        <f>'Profit and loss'!AU47/Balance!DQ47</f>
        <v>4.9910622819891899E-3</v>
      </c>
      <c r="E47" s="22">
        <f>(Balance!DS47-Balance!DU47+Balance!EQ47-Balance!ES47)/Balance!DQ47</f>
        <v>0.21063668139981367</v>
      </c>
      <c r="F47" s="9">
        <f>Balance!CY47/Balance!EQ47</f>
        <v>3.7988334251974596</v>
      </c>
      <c r="G47" s="9">
        <f>LN(Balance!DA47)</f>
        <v>17.902294699932114</v>
      </c>
      <c r="H47" s="9">
        <f>(Balance!GC47-Balance!FC47-Balance!ES47-Balance!EC47-Balance!DU47)/Balance!DA47</f>
        <v>0.1426167080182929</v>
      </c>
      <c r="I47" s="9">
        <f>'Profit and loss'!Z47/'Profit and loss'!P47</f>
        <v>0.11354786961630546</v>
      </c>
      <c r="J47" s="9">
        <f>'Profit and loss'!P47/Balance!AY47</f>
        <v>2.0639877104539397</v>
      </c>
      <c r="K47" s="9">
        <f>LN(Balance!DQ47)</f>
        <v>17.512320607856815</v>
      </c>
      <c r="L47" s="9">
        <f>Balance!AW47/Balance!DA47</f>
        <v>0.51439580267128882</v>
      </c>
      <c r="M47" s="22">
        <f>'Profit and loss'!P47/Balance!DA47</f>
        <v>0.49949579210038636</v>
      </c>
      <c r="N47" s="9">
        <f>'Profit and loss'!AI47/(Balance!EK47+Balance!FU47)*100</f>
        <v>30.338204640608733</v>
      </c>
      <c r="O47" s="9">
        <f>(Balance!DS47-Balance!DU47+Balance!EQ47-Balance!ES47)/'Profit and loss'!Z47</f>
        <v>2.5145459904439016</v>
      </c>
    </row>
    <row r="48" spans="1:15" x14ac:dyDescent="0.25">
      <c r="A48" s="9">
        <v>12</v>
      </c>
      <c r="B48" s="1" t="s">
        <v>128</v>
      </c>
      <c r="C48" s="9">
        <v>2019</v>
      </c>
      <c r="D48" s="9">
        <f>'Profit and loss'!AU48/Balance!DQ48</f>
        <v>8.7918140233991152E-2</v>
      </c>
      <c r="E48" s="22">
        <f>(Balance!DS48-Balance!DU48+Balance!EQ48-Balance!ES48)/Balance!DQ48</f>
        <v>0.27070477631464573</v>
      </c>
      <c r="F48" s="9">
        <f>Balance!CY48/Balance!EQ48</f>
        <v>3.7440605995522698</v>
      </c>
      <c r="G48" s="9">
        <f>LN(Balance!DA48)</f>
        <v>17.961031276880242</v>
      </c>
      <c r="H48" s="9">
        <f>(Balance!GC48-Balance!FC48-Balance!ES48-Balance!EC48-Balance!DU48)/Balance!DA48</f>
        <v>0.17221010944696127</v>
      </c>
      <c r="I48" s="9">
        <f>'Profit and loss'!Z48/'Profit and loss'!P48</f>
        <v>0.17834055084313469</v>
      </c>
      <c r="J48" s="9">
        <f>'Profit and loss'!P48/Balance!AY48</f>
        <v>1.5754479344398797</v>
      </c>
      <c r="K48" s="9">
        <f>LN(Balance!DQ48)</f>
        <v>17.508717733966101</v>
      </c>
      <c r="L48" s="9">
        <f>Balance!AW48/Balance!DA48</f>
        <v>0.46778244674780628</v>
      </c>
      <c r="M48" s="22">
        <f>'Profit and loss'!P48/Balance!DA48</f>
        <v>0.47278421260880971</v>
      </c>
      <c r="N48" s="9">
        <f>'Profit and loss'!AI48/(Balance!EK48+Balance!FU48)*100</f>
        <v>10.988675634348743</v>
      </c>
      <c r="O48" s="9">
        <f>(Balance!DS48-Balance!DU48+Balance!EQ48-Balance!ES48)/'Profit and loss'!Z48</f>
        <v>2.0424224383455392</v>
      </c>
    </row>
    <row r="49" spans="1:15" x14ac:dyDescent="0.25">
      <c r="A49" s="9">
        <v>12</v>
      </c>
      <c r="B49" s="8" t="s">
        <v>128</v>
      </c>
      <c r="C49" s="9">
        <v>2018</v>
      </c>
      <c r="D49" s="9">
        <f>'Profit and loss'!AU49/Balance!DQ49</f>
        <v>0.19134504609151326</v>
      </c>
      <c r="E49" s="22">
        <f>(Balance!DS49-Balance!DU49+Balance!EQ49-Balance!ES49)/Balance!DQ49</f>
        <v>9.5958167612335096E-2</v>
      </c>
      <c r="F49" s="9">
        <f>Balance!CY49/Balance!EQ49</f>
        <v>4.3539182949403852</v>
      </c>
      <c r="G49" s="9">
        <f>LN(Balance!DA49)</f>
        <v>17.663607654569599</v>
      </c>
      <c r="H49" s="9">
        <f>(Balance!GC49-Balance!FC49-Balance!ES49-Balance!EC49-Balance!DU49)/Balance!DA49</f>
        <v>7.2245477304840933E-2</v>
      </c>
      <c r="I49" s="9">
        <f>'Profit and loss'!Z49/'Profit and loss'!P49</f>
        <v>0.2490068728471686</v>
      </c>
      <c r="J49" s="9">
        <f>'Profit and loss'!P49/Balance!AY49</f>
        <v>3.3285543938218676</v>
      </c>
      <c r="K49" s="9">
        <f>LN(Balance!DQ49)</f>
        <v>17.379765039284663</v>
      </c>
      <c r="L49" s="9">
        <f>Balance!AW49/Balance!DA49</f>
        <v>0.53800157663383874</v>
      </c>
      <c r="M49" s="22">
        <f>'Profit and loss'!P49/Balance!DA49</f>
        <v>0.82449820350089464</v>
      </c>
      <c r="N49" s="9">
        <f>'Profit and loss'!AI49/(Balance!EK49+Balance!FU49)*100</f>
        <v>18.962283272601312</v>
      </c>
      <c r="O49" s="9">
        <f>(Balance!DS49-Balance!DU49+Balance!EQ49-Balance!ES49)/'Profit and loss'!Z49</f>
        <v>0.35189218080953077</v>
      </c>
    </row>
    <row r="50" spans="1:15" x14ac:dyDescent="0.25">
      <c r="A50" s="9">
        <v>13</v>
      </c>
      <c r="B50" s="1" t="s">
        <v>129</v>
      </c>
      <c r="C50" s="9">
        <v>2021</v>
      </c>
      <c r="D50" s="9">
        <f>'Profit and loss'!AU50/Balance!DQ50</f>
        <v>-0.17064108494311461</v>
      </c>
      <c r="E50" s="22">
        <f>(Balance!DS50-Balance!DU50+Balance!EQ50-Balance!ES50)/Balance!DQ50</f>
        <v>0</v>
      </c>
      <c r="F50" s="9">
        <f>Balance!CY50/Balance!EQ50</f>
        <v>3.233683711516897</v>
      </c>
      <c r="G50" s="9">
        <f>LN(Balance!DA50)</f>
        <v>11.388591644699748</v>
      </c>
      <c r="H50" s="9">
        <f>(Balance!GC50-Balance!FC50-Balance!ES50-Balance!EC50-Balance!DU50)/Balance!DA50</f>
        <v>0</v>
      </c>
      <c r="I50" s="9">
        <f>'Profit and loss'!Z50/'Profit and loss'!P50</f>
        <v>0</v>
      </c>
      <c r="J50" s="9">
        <f>'Profit and loss'!P50/Balance!AY50</f>
        <v>3.6015216428941225E-2</v>
      </c>
      <c r="K50" s="9">
        <f>LN(Balance!DQ50)</f>
        <v>11.103004946244264</v>
      </c>
      <c r="L50" s="9">
        <f>Balance!AW50/Balance!DA50</f>
        <v>0.19666623258236748</v>
      </c>
      <c r="M50" s="22">
        <f>'Profit and loss'!P50/Balance!DA50</f>
        <v>2.7177451774178022E-2</v>
      </c>
      <c r="N50" s="9" t="e">
        <f>'Profit and loss'!AI50/(Balance!EK50+Balance!FU50)*100</f>
        <v>#DIV/0!</v>
      </c>
      <c r="O50" s="9" t="e">
        <f>(Balance!DS50-Balance!DU50+Balance!EQ50-Balance!ES50)/'Profit and loss'!Z50</f>
        <v>#DIV/0!</v>
      </c>
    </row>
    <row r="51" spans="1:15" x14ac:dyDescent="0.25">
      <c r="A51" s="9">
        <v>13</v>
      </c>
      <c r="B51" s="1" t="s">
        <v>129</v>
      </c>
      <c r="C51" s="9">
        <v>2020</v>
      </c>
      <c r="D51" s="9">
        <f>'Profit and loss'!AU51/Balance!DQ51</f>
        <v>-7.6577347664530546E-2</v>
      </c>
      <c r="E51" s="22">
        <f>(Balance!DS51-Balance!DU51+Balance!EQ51-Balance!ES51)/Balance!DQ51</f>
        <v>0</v>
      </c>
      <c r="F51" s="9">
        <f>Balance!CY51/Balance!EQ51</f>
        <v>13.535777777777778</v>
      </c>
      <c r="G51" s="9">
        <f>LN(Balance!DA51)</f>
        <v>11.316853401793997</v>
      </c>
      <c r="H51" s="9">
        <f>(Balance!GC51-Balance!FC51-Balance!ES51-Balance!EC51-Balance!DU51)/Balance!DA51</f>
        <v>0</v>
      </c>
      <c r="I51" s="9">
        <f>'Profit and loss'!Z51/'Profit and loss'!P51</f>
        <v>0.11905625</v>
      </c>
      <c r="J51" s="9">
        <f>'Profit and loss'!P51/Balance!AY51</f>
        <v>0.29274540298234381</v>
      </c>
      <c r="K51" s="9">
        <f>LN(Balance!DQ51)</f>
        <v>11.260550045465713</v>
      </c>
      <c r="L51" s="9">
        <f>Balance!AW51/Balance!DA51</f>
        <v>0.25894789604758423</v>
      </c>
      <c r="M51" s="22">
        <f>'Profit and loss'!P51/Balance!DA51</f>
        <v>0.19465833204574956</v>
      </c>
      <c r="N51" s="9" t="e">
        <f>'Profit and loss'!AI51/(Balance!EK51+Balance!FU51)*100</f>
        <v>#DIV/0!</v>
      </c>
      <c r="O51" s="9">
        <f>(Balance!DS51-Balance!DU51+Balance!EQ51-Balance!ES51)/'Profit and loss'!Z51</f>
        <v>0</v>
      </c>
    </row>
    <row r="52" spans="1:15" x14ac:dyDescent="0.25">
      <c r="A52" s="9">
        <v>13</v>
      </c>
      <c r="B52" s="1" t="s">
        <v>129</v>
      </c>
      <c r="C52" s="9">
        <v>2019</v>
      </c>
      <c r="D52" s="9">
        <f>'Profit and loss'!AU52/Balance!DQ52</f>
        <v>-0.13290931914639251</v>
      </c>
      <c r="E52" s="22">
        <f>(Balance!DS52-Balance!DU52+Balance!EQ52-Balance!ES52)/Balance!DQ52</f>
        <v>0</v>
      </c>
      <c r="F52" s="9">
        <f>Balance!CY52/Balance!EQ52</f>
        <v>13.993552546744036</v>
      </c>
      <c r="G52" s="9">
        <f>LN(Balance!DA52)</f>
        <v>11.386714640055756</v>
      </c>
      <c r="H52" s="9">
        <f>(Balance!GC52-Balance!FC52-Balance!ES52-Balance!EC52-Balance!DU52)/Balance!DA52</f>
        <v>0</v>
      </c>
      <c r="I52" s="9">
        <f>'Profit and loss'!Z52/'Profit and loss'!P52</f>
        <v>0</v>
      </c>
      <c r="J52" s="9">
        <f>'Profit and loss'!P52/Balance!AY52</f>
        <v>0.63672367465967128</v>
      </c>
      <c r="K52" s="9">
        <f>LN(Balance!DQ52)</f>
        <v>11.334336931765382</v>
      </c>
      <c r="L52" s="9">
        <f>Balance!AW52/Balance!DA52</f>
        <v>0.28591412354256557</v>
      </c>
      <c r="M52" s="22">
        <f>'Profit and loss'!P52/Balance!DA52</f>
        <v>0.17017819926505709</v>
      </c>
      <c r="N52" s="9" t="e">
        <f>'Profit and loss'!AI52/(Balance!EK52+Balance!FU52)*100</f>
        <v>#DIV/0!</v>
      </c>
      <c r="O52" s="9" t="e">
        <f>(Balance!DS52-Balance!DU52+Balance!EQ52-Balance!ES52)/'Profit and loss'!Z52</f>
        <v>#DIV/0!</v>
      </c>
    </row>
    <row r="53" spans="1:15" x14ac:dyDescent="0.25">
      <c r="A53" s="9">
        <v>13</v>
      </c>
      <c r="B53" s="8" t="s">
        <v>129</v>
      </c>
      <c r="C53" s="9">
        <v>2018</v>
      </c>
      <c r="D53" s="9">
        <f>'Profit and loss'!AU53/Balance!DQ53</f>
        <v>3.4705700687977639E-2</v>
      </c>
      <c r="E53" s="22">
        <f>(Balance!DS53-Balance!DU53+Balance!EQ53-Balance!ES53)/Balance!DQ53</f>
        <v>0</v>
      </c>
      <c r="F53" s="9" t="e">
        <f>Balance!CY53/Balance!EQ53</f>
        <v>#DIV/0!</v>
      </c>
      <c r="G53" s="9">
        <f>LN(Balance!DA53)</f>
        <v>11.506980830591896</v>
      </c>
      <c r="H53" s="9">
        <f>(Balance!GC53-Balance!FC53-Balance!ES53-Balance!EC53-Balance!DU53)/Balance!DA53</f>
        <v>0</v>
      </c>
      <c r="I53" s="9">
        <f>'Profit and loss'!Z53/'Profit and loss'!P53</f>
        <v>5.466531713900135E-2</v>
      </c>
      <c r="J53" s="9" t="e">
        <f>'Profit and loss'!P53/Balance!AY53</f>
        <v>#DIV/0!</v>
      </c>
      <c r="K53" s="9">
        <f>LN(Balance!DQ53)</f>
        <v>11.506980830591896</v>
      </c>
      <c r="L53" s="9">
        <f>Balance!AW53/Balance!DA53</f>
        <v>0.27897045790399699</v>
      </c>
      <c r="M53" s="22">
        <f>'Profit and loss'!P53/Balance!DA53</f>
        <v>3.7270904651871644</v>
      </c>
      <c r="N53" s="9" t="e">
        <f>'Profit and loss'!AI53/(Balance!EK53+Balance!FU53)*100</f>
        <v>#DIV/0!</v>
      </c>
      <c r="O53" s="9">
        <f>(Balance!DS53-Balance!DU53+Balance!EQ53-Balance!ES53)/'Profit and loss'!Z53</f>
        <v>0</v>
      </c>
    </row>
    <row r="54" spans="1:15" s="22" customFormat="1" x14ac:dyDescent="0.25">
      <c r="A54" s="22">
        <v>14</v>
      </c>
      <c r="B54" s="2" t="s">
        <v>130</v>
      </c>
      <c r="C54" s="22">
        <v>2021</v>
      </c>
      <c r="D54" s="22">
        <f>'Profit and loss'!AU54/Balance!DQ54</f>
        <v>-3.552178770949721E-2</v>
      </c>
      <c r="E54" s="22">
        <f>(Balance!DS54-Balance!DU54+Balance!EQ54-Balance!ES54)/Balance!DQ54</f>
        <v>-20.082236782122905</v>
      </c>
      <c r="F54" s="22">
        <f>Balance!CY54/Balance!EQ54</f>
        <v>0.80399818804642642</v>
      </c>
      <c r="G54" s="22">
        <f>LN(Balance!DA54)</f>
        <v>17.875828767619939</v>
      </c>
      <c r="H54" s="22">
        <f>(Balance!GC54-Balance!FC54-Balance!ES54-Balance!EC54-Balance!DU54)/Balance!DA54</f>
        <v>0.96852614124500569</v>
      </c>
      <c r="I54" s="22">
        <f>'Profit and loss'!Z54/'Profit and loss'!P54</f>
        <v>3.0587834357557925E-2</v>
      </c>
      <c r="J54" s="22">
        <f>'Profit and loss'!P54/Balance!AY54</f>
        <v>1.3263495900735047</v>
      </c>
      <c r="K54" s="22" t="e">
        <f>LN(Balance!DQ54)</f>
        <v>#NUM!</v>
      </c>
      <c r="L54" s="22">
        <f>Balance!AW54/Balance!DA54</f>
        <v>0.1572265863108917</v>
      </c>
      <c r="M54" s="22">
        <f>'Profit and loss'!P54/Balance!DA54</f>
        <v>0.69642809907898506</v>
      </c>
      <c r="N54" s="22">
        <f>'Profit and loss'!AI54/(Balance!EK54+Balance!FU54)*100</f>
        <v>25.295092876636733</v>
      </c>
      <c r="O54" s="22">
        <f>(Balance!DS54-Balance!DU54+Balance!EQ54-Balance!ES54)/'Profit and loss'!Z54</f>
        <v>45.465956490944045</v>
      </c>
    </row>
    <row r="55" spans="1:15" s="22" customFormat="1" x14ac:dyDescent="0.25">
      <c r="A55" s="22">
        <v>14</v>
      </c>
      <c r="B55" s="2" t="s">
        <v>130</v>
      </c>
      <c r="C55" s="22">
        <v>2020</v>
      </c>
      <c r="D55" s="22">
        <f>'Profit and loss'!AU55/Balance!DQ55</f>
        <v>-3.1420566917475995E-2</v>
      </c>
      <c r="E55" s="22">
        <f>(Balance!DS55-Balance!DU55+Balance!EQ55-Balance!ES55)/Balance!DQ55</f>
        <v>-18.952264396676501</v>
      </c>
      <c r="F55" s="22">
        <f>Balance!CY55/Balance!EQ55</f>
        <v>0.80647686720983591</v>
      </c>
      <c r="G55" s="22">
        <f>LN(Balance!DA55)</f>
        <v>17.872232637182613</v>
      </c>
      <c r="H55" s="22">
        <f>(Balance!GC55-Balance!FC55-Balance!ES55-Balance!EC55-Balance!DU55)/Balance!DA55</f>
        <v>0.94990733428621721</v>
      </c>
      <c r="I55" s="22">
        <f>'Profit and loss'!Z55/'Profit and loss'!P55</f>
        <v>3.4349041981508566E-2</v>
      </c>
      <c r="J55" s="22">
        <f>'Profit and loss'!P55/Balance!AY55</f>
        <v>1.6419299838143024</v>
      </c>
      <c r="K55" s="22" t="e">
        <f>LN(Balance!DQ55)</f>
        <v>#NUM!</v>
      </c>
      <c r="L55" s="22">
        <f>Balance!AW55/Balance!DA55</f>
        <v>0.17781025241211812</v>
      </c>
      <c r="M55" s="22">
        <f>'Profit and loss'!P55/Balance!DA55</f>
        <v>0.7204919540222724</v>
      </c>
      <c r="N55" s="22">
        <f>'Profit and loss'!AI55/(Balance!EK55+Balance!FU55)*100</f>
        <v>16.091377922648164</v>
      </c>
      <c r="O55" s="22">
        <f>(Balance!DS55-Balance!DU55+Balance!EQ55-Balance!ES55)/'Profit and loss'!Z55</f>
        <v>38.382872806480826</v>
      </c>
    </row>
    <row r="56" spans="1:15" s="22" customFormat="1" x14ac:dyDescent="0.25">
      <c r="A56" s="22">
        <v>14</v>
      </c>
      <c r="B56" s="2" t="s">
        <v>130</v>
      </c>
      <c r="C56" s="22">
        <v>2019</v>
      </c>
      <c r="D56" s="22">
        <f>'Profit and loss'!AU56/Balance!DQ56</f>
        <v>-0.15191675471826671</v>
      </c>
      <c r="E56" s="22">
        <f>(Balance!DS56-Balance!DU56+Balance!EQ56-Balance!ES56)/Balance!DQ56</f>
        <v>-12.448401160164785</v>
      </c>
      <c r="F56" s="22">
        <f>Balance!CY56/Balance!EQ56</f>
        <v>0.79976249532171528</v>
      </c>
      <c r="G56" s="22">
        <f>LN(Balance!DA56)</f>
        <v>17.748429240151147</v>
      </c>
      <c r="H56" s="22">
        <f>(Balance!GC56-Balance!FC56-Balance!ES56-Balance!EC56-Balance!DU56)/Balance!DA56</f>
        <v>0.94470895908035946</v>
      </c>
      <c r="I56" s="22">
        <f>'Profit and loss'!Z56/'Profit and loss'!P56</f>
        <v>6.723707551713462E-2</v>
      </c>
      <c r="J56" s="22">
        <f>'Profit and loss'!P56/Balance!AY56</f>
        <v>1.2092156115100252</v>
      </c>
      <c r="K56" s="22" t="e">
        <f>LN(Balance!DQ56)</f>
        <v>#NUM!</v>
      </c>
      <c r="L56" s="22">
        <f>Balance!AW56/Balance!DA56</f>
        <v>0.18066128306423157</v>
      </c>
      <c r="M56" s="22">
        <f>'Profit and loss'!P56/Balance!DA56</f>
        <v>0.57381421447790748</v>
      </c>
      <c r="N56" s="22">
        <f>'Profit and loss'!AI56/(Balance!EK56+Balance!FU56)*100</f>
        <v>11.020561182366826</v>
      </c>
      <c r="O56" s="22">
        <f>(Balance!DS56-Balance!DU56+Balance!EQ56-Balance!ES56)/'Profit and loss'!Z56</f>
        <v>24.486004001395056</v>
      </c>
    </row>
    <row r="57" spans="1:15" s="22" customFormat="1" x14ac:dyDescent="0.25">
      <c r="A57" s="22">
        <v>14</v>
      </c>
      <c r="B57" s="20" t="s">
        <v>130</v>
      </c>
      <c r="C57" s="22">
        <v>2018</v>
      </c>
      <c r="D57" s="22">
        <f>'Profit and loss'!AU57/Balance!DQ57</f>
        <v>-2.9349175438873505E-3</v>
      </c>
      <c r="E57" s="22">
        <f>(Balance!DS57-Balance!DU57+Balance!EQ57-Balance!ES57)/Balance!DQ57</f>
        <v>-6.5953865190866576</v>
      </c>
      <c r="F57" s="22">
        <f>Balance!CY57/Balance!EQ57</f>
        <v>0.77558482976311505</v>
      </c>
      <c r="G57" s="22">
        <f>LN(Balance!DA57)</f>
        <v>17.584653464616576</v>
      </c>
      <c r="H57" s="22">
        <f>(Balance!GC57-Balance!FC57-Balance!ES57-Balance!EC57-Balance!DU57)/Balance!DA57</f>
        <v>0.76132616876120429</v>
      </c>
      <c r="I57" s="22">
        <f>'Profit and loss'!Z57/'Profit and loss'!P57</f>
        <v>7.637813695650908E-2</v>
      </c>
      <c r="J57" s="22">
        <f>'Profit and loss'!P57/Balance!AY57</f>
        <v>1.462882921067469</v>
      </c>
      <c r="K57" s="22" t="e">
        <f>LN(Balance!DQ57)</f>
        <v>#NUM!</v>
      </c>
      <c r="L57" s="22">
        <f>Balance!AW57/Balance!DA57</f>
        <v>0.21649333570204116</v>
      </c>
      <c r="M57" s="22">
        <f>'Profit and loss'!P57/Balance!DA57</f>
        <v>0.58257820773413871</v>
      </c>
      <c r="N57" s="22">
        <f>'Profit and loss'!AI57/(Balance!EK57+Balance!FU57)*100</f>
        <v>24.688063750419495</v>
      </c>
      <c r="O57" s="22">
        <f>(Balance!DS57-Balance!DU57+Balance!EQ57-Balance!ES57)/'Profit and loss'!Z57</f>
        <v>17.109899636834257</v>
      </c>
    </row>
    <row r="58" spans="1:15" x14ac:dyDescent="0.25">
      <c r="A58" s="9">
        <v>15</v>
      </c>
      <c r="B58" s="1" t="s">
        <v>131</v>
      </c>
      <c r="C58" s="9">
        <v>2021</v>
      </c>
      <c r="D58" s="9">
        <f>'Profit and loss'!AU58/Balance!DQ58</f>
        <v>0.24278361646795887</v>
      </c>
      <c r="E58" s="22">
        <f>(Balance!DS58-Balance!DU58+Balance!EQ58-Balance!ES58)/Balance!DQ58</f>
        <v>1.5139312387802841</v>
      </c>
      <c r="F58" s="9">
        <f>Balance!CY58/Balance!EQ58</f>
        <v>1.4584515069565476</v>
      </c>
      <c r="G58" s="9">
        <f>LN(Balance!DA58)</f>
        <v>17.177582213961696</v>
      </c>
      <c r="H58" s="9">
        <f>(Balance!GC58-Balance!FC58-Balance!ES58-Balance!EC58-Balance!DU58)/Balance!DA58</f>
        <v>0.48383733532384293</v>
      </c>
      <c r="I58" s="9">
        <f>'Profit and loss'!Z58/'Profit and loss'!P58</f>
        <v>0.18905092245878843</v>
      </c>
      <c r="J58" s="9">
        <f>'Profit and loss'!P58/Balance!AY58</f>
        <v>1.1663510731228208</v>
      </c>
      <c r="K58" s="9">
        <f>LN(Balance!DQ58)</f>
        <v>16.03686596410364</v>
      </c>
      <c r="L58" s="9">
        <f>Balance!AW58/Balance!DA58</f>
        <v>0.1087647588846907</v>
      </c>
      <c r="M58" s="22">
        <f>'Profit and loss'!P58/Balance!DA58</f>
        <v>0.64313858964575898</v>
      </c>
      <c r="N58" s="9">
        <f>'Profit and loss'!AI58/(Balance!EK58+Balance!FU58)*100</f>
        <v>7.5161320643322416</v>
      </c>
      <c r="O58" s="9">
        <f>(Balance!DS58-Balance!DU58+Balance!EQ58-Balance!ES58)/'Profit and loss'!Z58</f>
        <v>3.9793854522439718</v>
      </c>
    </row>
    <row r="59" spans="1:15" x14ac:dyDescent="0.25">
      <c r="A59" s="9">
        <v>15</v>
      </c>
      <c r="B59" s="1" t="s">
        <v>131</v>
      </c>
      <c r="C59" s="9">
        <v>2020</v>
      </c>
      <c r="D59" s="9">
        <f>'Profit and loss'!AU59/Balance!DQ59</f>
        <v>0.24972226927337804</v>
      </c>
      <c r="E59" s="22">
        <f>(Balance!DS59-Balance!DU59+Balance!EQ59-Balance!ES59)/Balance!DQ59</f>
        <v>0.23112713686369113</v>
      </c>
      <c r="F59" s="9">
        <f>Balance!CY59/Balance!EQ59</f>
        <v>3.0983397783162534</v>
      </c>
      <c r="G59" s="9">
        <f>LN(Balance!DA59)</f>
        <v>16.339650340700224</v>
      </c>
      <c r="H59" s="9">
        <f>(Balance!GC59-Balance!FC59-Balance!ES59-Balance!EC59-Balance!DU59)/Balance!DA59</f>
        <v>0.14366584389376574</v>
      </c>
      <c r="I59" s="9">
        <f>'Profit and loss'!Z59/'Profit and loss'!P59</f>
        <v>0.13754898577176033</v>
      </c>
      <c r="J59" s="9">
        <f>'Profit and loss'!P59/Balance!AY59</f>
        <v>2.6256274505409891</v>
      </c>
      <c r="K59" s="9">
        <f>LN(Balance!DQ59)</f>
        <v>15.864172480008168</v>
      </c>
      <c r="L59" s="9">
        <f>Balance!AW59/Balance!DA59</f>
        <v>0.27267650121332626</v>
      </c>
      <c r="M59" s="22">
        <f>'Profit and loss'!P59/Balance!DA59</f>
        <v>1.5678211528622841</v>
      </c>
      <c r="N59" s="9">
        <f>'Profit and loss'!AI59/(Balance!EK59+Balance!FU59)*100</f>
        <v>39.721245022232537</v>
      </c>
      <c r="O59" s="9">
        <f>(Balance!DS59-Balance!DU59+Balance!EQ59-Balance!ES59)/'Profit and loss'!Z59</f>
        <v>0.66619231150791802</v>
      </c>
    </row>
    <row r="60" spans="1:15" x14ac:dyDescent="0.25">
      <c r="A60" s="9">
        <v>15</v>
      </c>
      <c r="B60" s="1" t="s">
        <v>131</v>
      </c>
      <c r="C60" s="9">
        <v>2019</v>
      </c>
      <c r="D60" s="9">
        <f>'Profit and loss'!AU60/Balance!DQ60</f>
        <v>9.7928571059182803E-2</v>
      </c>
      <c r="E60" s="22">
        <f>(Balance!DS60-Balance!DU60+Balance!EQ60-Balance!ES60)/Balance!DQ60</f>
        <v>0.67129104685141838</v>
      </c>
      <c r="F60" s="9">
        <f>Balance!CY60/Balance!EQ60</f>
        <v>5.4160728243443632</v>
      </c>
      <c r="G60" s="9">
        <f>LN(Balance!DA60)</f>
        <v>16.279101806790788</v>
      </c>
      <c r="H60" s="9">
        <f>(Balance!GC60-Balance!FC60-Balance!ES60-Balance!EC60-Balance!DU60)/Balance!DA60</f>
        <v>0.34256020428159817</v>
      </c>
      <c r="I60" s="9">
        <f>'Profit and loss'!Z60/'Profit and loss'!P60</f>
        <v>8.1590718492915215E-2</v>
      </c>
      <c r="J60" s="9">
        <f>'Profit and loss'!P60/Balance!AY60</f>
        <v>1.3593207704626771</v>
      </c>
      <c r="K60" s="9">
        <f>LN(Balance!DQ60)</f>
        <v>15.606346434144882</v>
      </c>
      <c r="L60" s="9">
        <f>Balance!AW60/Balance!DA60</f>
        <v>0.20308324172068223</v>
      </c>
      <c r="M60" s="22">
        <f>'Profit and loss'!P60/Balance!DA60</f>
        <v>0.77928524595634496</v>
      </c>
      <c r="N60" s="9">
        <f>'Profit and loss'!AI60/(Balance!EK60+Balance!FU60)*100</f>
        <v>3.8136896128970101</v>
      </c>
      <c r="O60" s="9">
        <f>(Balance!DS60-Balance!DU60+Balance!EQ60-Balance!ES60)/'Profit and loss'!Z60</f>
        <v>5.3876540036256628</v>
      </c>
    </row>
    <row r="61" spans="1:15" x14ac:dyDescent="0.25">
      <c r="A61" s="9">
        <v>15</v>
      </c>
      <c r="B61" s="8" t="s">
        <v>131</v>
      </c>
      <c r="C61" s="9">
        <v>2018</v>
      </c>
      <c r="D61" s="9">
        <f>'Profit and loss'!AU61/Balance!DQ61</f>
        <v>0.37920523646371818</v>
      </c>
      <c r="E61" s="22">
        <f>(Balance!DS61-Balance!DU61+Balance!EQ61-Balance!ES61)/Balance!DQ61</f>
        <v>0</v>
      </c>
      <c r="F61" s="9">
        <f>Balance!CY61/Balance!EQ61</f>
        <v>4.2390172761116656</v>
      </c>
      <c r="G61" s="9">
        <f>LN(Balance!DA61)</f>
        <v>15.876312455820413</v>
      </c>
      <c r="H61" s="9">
        <f>(Balance!GC61-Balance!FC61-Balance!ES61-Balance!EC61-Balance!DU61)/Balance!DA61</f>
        <v>0</v>
      </c>
      <c r="I61" s="9">
        <f>'Profit and loss'!Z61/'Profit and loss'!P61</f>
        <v>0.26289659582960651</v>
      </c>
      <c r="J61" s="9">
        <f>'Profit and loss'!P61/Balance!AY61</f>
        <v>2.044221246004879</v>
      </c>
      <c r="K61" s="9">
        <f>LN(Balance!DQ61)</f>
        <v>15.645206582834851</v>
      </c>
      <c r="L61" s="9">
        <f>Balance!AW61/Balance!DA61</f>
        <v>0.12530182377974047</v>
      </c>
      <c r="M61" s="22">
        <f>'Profit and loss'!P61/Balance!DA61</f>
        <v>1.3764118221190729</v>
      </c>
      <c r="N61" s="9" t="e">
        <f>'Profit and loss'!AI61/(Balance!EK61+Balance!FU61)*100</f>
        <v>#DIV/0!</v>
      </c>
      <c r="O61" s="9">
        <f>(Balance!DS61-Balance!DU61+Balance!EQ61-Balance!ES61)/'Profit and loss'!Z61</f>
        <v>0</v>
      </c>
    </row>
    <row r="62" spans="1:15" s="22" customFormat="1" x14ac:dyDescent="0.25">
      <c r="A62" s="22">
        <v>16</v>
      </c>
      <c r="B62" s="2" t="s">
        <v>132</v>
      </c>
      <c r="C62" s="22">
        <v>2021</v>
      </c>
      <c r="D62" s="22">
        <f>'Profit and loss'!AU62/Balance!DQ62</f>
        <v>2.5151011428163672E-2</v>
      </c>
      <c r="E62" s="22">
        <f>(Balance!DS62-Balance!DU62+Balance!EQ62-Balance!ES62)/Balance!DQ62</f>
        <v>4.053530097165492</v>
      </c>
      <c r="F62" s="22">
        <f>Balance!CY62/Balance!EQ62</f>
        <v>0.99553069218447843</v>
      </c>
      <c r="G62" s="22">
        <f>LN(Balance!DA62)</f>
        <v>17.601136591584549</v>
      </c>
      <c r="H62" s="22">
        <f>(Balance!GC62-Balance!FC62-Balance!ES62-Balance!EC62-Balance!DU62)/Balance!DA62</f>
        <v>0.76836130573854444</v>
      </c>
      <c r="I62" s="22">
        <f>'Profit and loss'!Z62/'Profit and loss'!P62</f>
        <v>3.748085435541022E-3</v>
      </c>
      <c r="J62" s="22">
        <f>'Profit and loss'!P62/Balance!AY62</f>
        <v>2.2106022361256685</v>
      </c>
      <c r="K62" s="22">
        <f>LN(Balance!DQ62)</f>
        <v>15.938053254903192</v>
      </c>
      <c r="L62" s="22">
        <f>Balance!AW62/Balance!DA62</f>
        <v>0.1931757548416711</v>
      </c>
      <c r="M62" s="22">
        <f>'Profit and loss'!P62/Balance!DA62</f>
        <v>1.4214350567492222</v>
      </c>
      <c r="N62" s="22">
        <f>'Profit and loss'!AI62/(Balance!EK62+Balance!FU62)*100</f>
        <v>1.6240415946018438</v>
      </c>
      <c r="O62" s="22">
        <f>(Balance!DS62-Balance!DU62+Balance!EQ62-Balance!ES62)/'Profit and loss'!Z62</f>
        <v>144.22115917087675</v>
      </c>
    </row>
    <row r="63" spans="1:15" s="22" customFormat="1" x14ac:dyDescent="0.25">
      <c r="A63" s="22">
        <v>16</v>
      </c>
      <c r="B63" s="2" t="s">
        <v>132</v>
      </c>
      <c r="C63" s="22">
        <v>2020</v>
      </c>
      <c r="D63" s="22">
        <f>'Profit and loss'!AU63/Balance!DQ63</f>
        <v>8.9882957396094448E-2</v>
      </c>
      <c r="E63" s="22">
        <f>(Balance!DS63-Balance!DU63+Balance!EQ63-Balance!ES63)/Balance!DQ63</f>
        <v>3.9328546245536149</v>
      </c>
      <c r="F63" s="22">
        <f>Balance!CY63/Balance!EQ63</f>
        <v>1.003074407387013</v>
      </c>
      <c r="G63" s="22">
        <f>LN(Balance!DA63)</f>
        <v>17.608300759830222</v>
      </c>
      <c r="H63" s="22">
        <f>(Balance!GC63-Balance!FC63-Balance!ES63-Balance!EC63-Balance!DU63)/Balance!DA63</f>
        <v>0.74862952519416548</v>
      </c>
      <c r="I63" s="22">
        <f>'Profit and loss'!Z63/'Profit and loss'!P63</f>
        <v>1.4853347929665748E-2</v>
      </c>
      <c r="J63" s="22">
        <f>'Profit and loss'!P63/Balance!AY63</f>
        <v>2.7532822929300758</v>
      </c>
      <c r="K63" s="22">
        <f>LN(Balance!DQ63)</f>
        <v>15.949424186313749</v>
      </c>
      <c r="L63" s="22">
        <f>Balance!AW63/Balance!DA63</f>
        <v>0.18974700731006272</v>
      </c>
      <c r="M63" s="22">
        <f>'Profit and loss'!P63/Balance!DA63</f>
        <v>1.7896443440800447</v>
      </c>
      <c r="N63" s="22">
        <f>'Profit and loss'!AI63/(Balance!EK63+Balance!FU63)*100</f>
        <v>42.21700993587438</v>
      </c>
      <c r="O63" s="22">
        <f>(Balance!DS63-Balance!DU63+Balance!EQ63-Balance!ES63)/'Profit and loss'!Z63</f>
        <v>28.162802190350252</v>
      </c>
    </row>
    <row r="64" spans="1:15" s="22" customFormat="1" x14ac:dyDescent="0.25">
      <c r="A64" s="22">
        <v>16</v>
      </c>
      <c r="B64" s="2" t="s">
        <v>132</v>
      </c>
      <c r="C64" s="22">
        <v>2019</v>
      </c>
      <c r="D64" s="22">
        <f>'Profit and loss'!AU64/Balance!DQ64</f>
        <v>0.64243112804168256</v>
      </c>
      <c r="E64" s="22">
        <f>(Balance!DS64-Balance!DU64+Balance!EQ64-Balance!ES64)/Balance!DQ64</f>
        <v>3.5189391514663235</v>
      </c>
      <c r="F64" s="22">
        <f>Balance!CY64/Balance!EQ64</f>
        <v>1.0319708936142282</v>
      </c>
      <c r="G64" s="22">
        <f>LN(Balance!DA64)</f>
        <v>17.67829775093654</v>
      </c>
      <c r="H64" s="22">
        <f>(Balance!GC64-Balance!FC64-Balance!ES64-Balance!EC64-Balance!DU64)/Balance!DA64</f>
        <v>0.72529853303609571</v>
      </c>
      <c r="I64" s="22">
        <f>'Profit and loss'!Z64/'Profit and loss'!P64</f>
        <v>0.12709676143781384</v>
      </c>
      <c r="J64" s="22">
        <f>'Profit and loss'!P64/Balance!AY64</f>
        <v>1.8371045916155342</v>
      </c>
      <c r="K64" s="22">
        <f>LN(Balance!DQ64)</f>
        <v>16.098966244997793</v>
      </c>
      <c r="L64" s="22">
        <f>Balance!AW64/Balance!DA64</f>
        <v>0.1873848621379407</v>
      </c>
      <c r="M64" s="22">
        <f>'Profit and loss'!P64/Balance!DA64</f>
        <v>1.2018168012739909</v>
      </c>
      <c r="N64" s="22">
        <f>'Profit and loss'!AI64/(Balance!EK64+Balance!FU64)*100</f>
        <v>5.3918617494364041</v>
      </c>
      <c r="O64" s="22">
        <f>(Balance!DS64-Balance!DU64+Balance!EQ64-Balance!ES64)/'Profit and loss'!Z64</f>
        <v>4.7483644358164936</v>
      </c>
    </row>
    <row r="65" spans="1:15" s="22" customFormat="1" x14ac:dyDescent="0.25">
      <c r="A65" s="22">
        <v>16</v>
      </c>
      <c r="B65" s="20" t="s">
        <v>132</v>
      </c>
      <c r="C65" s="22">
        <v>2018</v>
      </c>
      <c r="D65" s="22">
        <f>'Profit and loss'!AU65/Balance!DQ65</f>
        <v>0.46083738256969659</v>
      </c>
      <c r="E65" s="22">
        <f>(Balance!DS65-Balance!DU65+Balance!EQ65-Balance!ES65)/Balance!DQ65</f>
        <v>3.9861329266220089</v>
      </c>
      <c r="F65" s="22">
        <f>Balance!CY65/Balance!EQ65</f>
        <v>0.88003303458699167</v>
      </c>
      <c r="G65" s="22">
        <f>LN(Balance!DA65)</f>
        <v>17.190242190958998</v>
      </c>
      <c r="H65" s="22">
        <f>(Balance!GC65-Balance!FC65-Balance!ES65-Balance!EC65-Balance!DU65)/Balance!DA65</f>
        <v>0.55712868801752113</v>
      </c>
      <c r="I65" s="22">
        <f>'Profit and loss'!Z65/'Profit and loss'!P65</f>
        <v>9.9769938680126971E-2</v>
      </c>
      <c r="J65" s="22">
        <f>'Profit and loss'!P65/Balance!AY65</f>
        <v>2.7498622714182508</v>
      </c>
      <c r="K65" s="22">
        <f>LN(Balance!DQ65)</f>
        <v>15.222461593343098</v>
      </c>
      <c r="L65" s="22">
        <f>Balance!AW65/Balance!DA65</f>
        <v>0.27460308137452194</v>
      </c>
      <c r="M65" s="22">
        <f>'Profit and loss'!P65/Balance!DA65</f>
        <v>1.6723912172467819</v>
      </c>
      <c r="N65" s="22">
        <f>'Profit and loss'!AI65/(Balance!EK65+Balance!FU65)*100</f>
        <v>42.478940241699917</v>
      </c>
      <c r="O65" s="22">
        <f>(Balance!DS65-Balance!DU65+Balance!EQ65-Balance!ES65)/'Profit and loss'!Z65</f>
        <v>3.3390116825176195</v>
      </c>
    </row>
    <row r="66" spans="1:15" x14ac:dyDescent="0.25">
      <c r="A66" s="9">
        <v>17</v>
      </c>
      <c r="B66" s="1" t="s">
        <v>133</v>
      </c>
      <c r="C66" s="9">
        <v>2021</v>
      </c>
      <c r="D66" s="9">
        <f>'Profit and loss'!AU66/Balance!DQ66</f>
        <v>1.7342702904824645E-3</v>
      </c>
      <c r="E66" s="22">
        <f>(Balance!DS66-Balance!DU66+Balance!EQ66-Balance!ES66)/Balance!DQ66</f>
        <v>0.24427229579349649</v>
      </c>
      <c r="F66" s="9">
        <f>Balance!CY66/Balance!EQ66</f>
        <v>0.8770105666114254</v>
      </c>
      <c r="G66" s="9">
        <f>LN(Balance!DA66)</f>
        <v>17.908831046001357</v>
      </c>
      <c r="H66" s="9">
        <f>(Balance!GC66-Balance!FC66-Balance!ES66-Balance!EC66-Balance!DU66)/Balance!DA66</f>
        <v>0.12525011642333178</v>
      </c>
      <c r="I66" s="9">
        <f>'Profit and loss'!Z66/'Profit and loss'!P66</f>
        <v>7.9413314603547017E-3</v>
      </c>
      <c r="J66" s="9">
        <f>'Profit and loss'!P66/Balance!AY66</f>
        <v>0.92934012984139391</v>
      </c>
      <c r="K66" s="9">
        <f>LN(Balance!DQ66)</f>
        <v>17.240860146061092</v>
      </c>
      <c r="L66" s="9">
        <f>Balance!AW66/Balance!DA66</f>
        <v>0.57267479461936599</v>
      </c>
      <c r="M66" s="22">
        <f>'Profit and loss'!P66/Balance!DA66</f>
        <v>0.1317374565403085</v>
      </c>
      <c r="N66" s="9" t="e">
        <f>'Profit and loss'!AI66/(Balance!EK66+Balance!FU66)*100</f>
        <v>#DIV/0!</v>
      </c>
      <c r="O66" s="9">
        <f>(Balance!DS66-Balance!DU66+Balance!EQ66-Balance!ES66)/'Profit and loss'!Z66</f>
        <v>119.72243485471884</v>
      </c>
    </row>
    <row r="67" spans="1:15" x14ac:dyDescent="0.25">
      <c r="A67" s="9">
        <v>17</v>
      </c>
      <c r="B67" s="1" t="s">
        <v>133</v>
      </c>
      <c r="C67" s="9">
        <v>2020</v>
      </c>
      <c r="D67" s="9">
        <f>'Profit and loss'!AU67/Balance!DQ67</f>
        <v>-0.1185101667748136</v>
      </c>
      <c r="E67" s="22">
        <f>(Balance!DS67-Balance!DU67+Balance!EQ67-Balance!ES67)/Balance!DQ67</f>
        <v>0.22213834598587315</v>
      </c>
      <c r="F67" s="9">
        <f>Balance!CY67/Balance!EQ67</f>
        <v>0.93690492709713402</v>
      </c>
      <c r="G67" s="9">
        <f>LN(Balance!DA67)</f>
        <v>17.81983781172627</v>
      </c>
      <c r="H67" s="9">
        <f>(Balance!GC67-Balance!FC67-Balance!ES67-Balance!EC67-Balance!DU67)/Balance!DA67</f>
        <v>0.13046846314470914</v>
      </c>
      <c r="I67" s="9">
        <f>'Profit and loss'!Z67/'Profit and loss'!P67</f>
        <v>0</v>
      </c>
      <c r="J67" s="9">
        <f>'Profit and loss'!P67/Balance!AY67</f>
        <v>1.3141615356431828</v>
      </c>
      <c r="K67" s="9">
        <f>LN(Balance!DQ67)</f>
        <v>17.287668979665021</v>
      </c>
      <c r="L67" s="9">
        <f>Balance!AW67/Balance!DA67</f>
        <v>0.61336722608997241</v>
      </c>
      <c r="M67" s="22">
        <f>'Profit and loss'!P67/Balance!DA67</f>
        <v>0.21500674333046374</v>
      </c>
      <c r="N67" s="9" t="e">
        <f>'Profit and loss'!AI67/(Balance!EK67+Balance!FU67)*100</f>
        <v>#DIV/0!</v>
      </c>
      <c r="O67" s="9" t="e">
        <f>(Balance!DS67-Balance!DU67+Balance!EQ67-Balance!ES67)/'Profit and loss'!Z67</f>
        <v>#DIV/0!</v>
      </c>
    </row>
    <row r="68" spans="1:15" x14ac:dyDescent="0.25">
      <c r="A68" s="9">
        <v>17</v>
      </c>
      <c r="B68" s="1" t="s">
        <v>133</v>
      </c>
      <c r="C68" s="9">
        <v>2019</v>
      </c>
      <c r="D68" s="9">
        <f>'Profit and loss'!AU68/Balance!DQ68</f>
        <v>-6.3975856181914814E-2</v>
      </c>
      <c r="E68" s="22">
        <f>(Balance!DS68-Balance!DU68+Balance!EQ68-Balance!ES68)/Balance!DQ68</f>
        <v>0.26980286424573446</v>
      </c>
      <c r="F68" s="9">
        <f>Balance!CY68/Balance!EQ68</f>
        <v>0.98189222104136786</v>
      </c>
      <c r="G68" s="9">
        <f>LN(Balance!DA68)</f>
        <v>17.816392158224168</v>
      </c>
      <c r="H68" s="9">
        <f>(Balance!GC68-Balance!FC68-Balance!ES68-Balance!EC68-Balance!DU68)/Balance!DA68</f>
        <v>0.16270659104947718</v>
      </c>
      <c r="I68" s="9">
        <f>'Profit and loss'!Z68/'Profit and loss'!P68</f>
        <v>0</v>
      </c>
      <c r="J68" s="9">
        <f>'Profit and loss'!P68/Balance!AY68</f>
        <v>1.8229657688879721</v>
      </c>
      <c r="K68" s="9">
        <f>LN(Balance!DQ68)</f>
        <v>17.310649122175423</v>
      </c>
      <c r="L68" s="9">
        <f>Balance!AW68/Balance!DA68</f>
        <v>0.61024506597472605</v>
      </c>
      <c r="M68" s="22">
        <f>'Profit and loss'!P68/Balance!DA68</f>
        <v>0.27910732482278539</v>
      </c>
      <c r="N68" s="9">
        <f>'Profit and loss'!AI68/(Balance!EK68+Balance!FU68)*100</f>
        <v>105.6948216410851</v>
      </c>
      <c r="O68" s="9" t="e">
        <f>(Balance!DS68-Balance!DU68+Balance!EQ68-Balance!ES68)/'Profit and loss'!Z68</f>
        <v>#DIV/0!</v>
      </c>
    </row>
    <row r="69" spans="1:15" x14ac:dyDescent="0.25">
      <c r="A69" s="9">
        <v>17</v>
      </c>
      <c r="B69" s="8" t="s">
        <v>133</v>
      </c>
      <c r="C69" s="9">
        <v>2018</v>
      </c>
      <c r="D69" s="9">
        <f>'Profit and loss'!AU69/Balance!DQ69</f>
        <v>-2.355500823720973E-2</v>
      </c>
      <c r="E69" s="22">
        <f>(Balance!DS69-Balance!DU69+Balance!EQ69-Balance!ES69)/Balance!DQ69</f>
        <v>0.35771617529747229</v>
      </c>
      <c r="F69" s="9">
        <f>Balance!CY69/Balance!EQ69</f>
        <v>1.200410934741563</v>
      </c>
      <c r="G69" s="9">
        <f>LN(Balance!DA69)</f>
        <v>17.739927401498175</v>
      </c>
      <c r="H69" s="9">
        <f>(Balance!GC69-Balance!FC69-Balance!ES69-Balance!EC69-Balance!DU69)/Balance!DA69</f>
        <v>0.24254115890889355</v>
      </c>
      <c r="I69" s="9">
        <f>'Profit and loss'!Z69/'Profit and loss'!P69</f>
        <v>1.3215562495944945E-2</v>
      </c>
      <c r="J69" s="9">
        <f>'Profit and loss'!P69/Balance!AY69</f>
        <v>2.2607202615133297</v>
      </c>
      <c r="K69" s="9">
        <f>LN(Balance!DQ69)</f>
        <v>17.351358959401153</v>
      </c>
      <c r="L69" s="9">
        <f>Balance!AW69/Balance!DA69</f>
        <v>0.61349986769003229</v>
      </c>
      <c r="M69" s="22">
        <f>'Profit and loss'!P69/Balance!DA69</f>
        <v>0.49535688411250828</v>
      </c>
      <c r="N69" s="9">
        <f>'Profit and loss'!AI69/(Balance!EK69+Balance!FU69)*100</f>
        <v>23.969338380757303</v>
      </c>
      <c r="O69" s="9">
        <f>(Balance!DS69-Balance!DU69+Balance!EQ69-Balance!ES69)/'Profit and loss'!Z69</f>
        <v>37.049435279704767</v>
      </c>
    </row>
    <row r="70" spans="1:15" x14ac:dyDescent="0.25">
      <c r="A70" s="9">
        <v>18</v>
      </c>
      <c r="B70" s="1" t="s">
        <v>134</v>
      </c>
      <c r="C70" s="9">
        <v>2021</v>
      </c>
      <c r="D70" s="9">
        <f>'Profit and loss'!AU70/Balance!DQ70</f>
        <v>-1.2685587272530041</v>
      </c>
      <c r="E70" s="22">
        <f>(Balance!DS70-Balance!DU70+Balance!EQ70-Balance!ES70)/Balance!DQ70</f>
        <v>5.2856279840873128</v>
      </c>
      <c r="F70" s="9">
        <f>Balance!CY70/Balance!EQ70</f>
        <v>2.0222164683286588</v>
      </c>
      <c r="G70" s="9">
        <f>LN(Balance!DA70)</f>
        <v>18.040455168407551</v>
      </c>
      <c r="H70" s="9">
        <f>(Balance!GC70-Balance!FC70-Balance!ES70-Balance!EC70-Balance!DU70)/Balance!DA70</f>
        <v>0.67860129934850255</v>
      </c>
      <c r="I70" s="9">
        <f>'Profit and loss'!Z70/'Profit and loss'!P70</f>
        <v>0</v>
      </c>
      <c r="J70" s="9">
        <f>'Profit and loss'!P70/Balance!AY70</f>
        <v>1.3404596606170838</v>
      </c>
      <c r="K70" s="9">
        <f>LN(Balance!DQ70)</f>
        <v>15.987742220401675</v>
      </c>
      <c r="L70" s="9">
        <f>Balance!AW70/Balance!DA70</f>
        <v>0.29993090146999513</v>
      </c>
      <c r="M70" s="22">
        <f>'Profit and loss'!P70/Balance!DA70</f>
        <v>0.74461637475408504</v>
      </c>
      <c r="N70" s="9">
        <f>'Profit and loss'!AI70/(Balance!EK70+Balance!FU70)*100</f>
        <v>15.922153780572257</v>
      </c>
      <c r="O70" s="9" t="e">
        <f>(Balance!DS70-Balance!DU70+Balance!EQ70-Balance!ES70)/'Profit and loss'!Z70</f>
        <v>#DIV/0!</v>
      </c>
    </row>
    <row r="71" spans="1:15" x14ac:dyDescent="0.25">
      <c r="A71" s="9">
        <v>18</v>
      </c>
      <c r="B71" s="1" t="s">
        <v>134</v>
      </c>
      <c r="C71" s="9">
        <v>2020</v>
      </c>
      <c r="D71" s="9">
        <f>'Profit and loss'!AU71/Balance!DQ71</f>
        <v>-0.51239258828650658</v>
      </c>
      <c r="E71" s="22">
        <f>(Balance!DS71-Balance!DU71+Balance!EQ71-Balance!ES71)/Balance!DQ71</f>
        <v>2.0574147462852928</v>
      </c>
      <c r="F71" s="9">
        <f>Balance!CY71/Balance!EQ71</f>
        <v>3.1829521490937931</v>
      </c>
      <c r="G71" s="9">
        <f>LN(Balance!DA71)</f>
        <v>18.173586994433762</v>
      </c>
      <c r="H71" s="9">
        <f>(Balance!GC71-Balance!FC71-Balance!ES71-Balance!EC71-Balance!DU71)/Balance!DA71</f>
        <v>0.52631457372184121</v>
      </c>
      <c r="I71" s="9">
        <f>'Profit and loss'!Z71/'Profit and loss'!P71</f>
        <v>0</v>
      </c>
      <c r="J71" s="9">
        <f>'Profit and loss'!P71/Balance!AY71</f>
        <v>2.3942733201563122</v>
      </c>
      <c r="K71" s="9">
        <f>LN(Balance!DQ71)</f>
        <v>16.810280581203891</v>
      </c>
      <c r="L71" s="9">
        <f>Balance!AW71/Balance!DA71</f>
        <v>0.29811969889278656</v>
      </c>
      <c r="M71" s="22">
        <f>'Profit and loss'!P71/Balance!DA71</f>
        <v>1.2603878856941566</v>
      </c>
      <c r="N71" s="9">
        <f>'Profit and loss'!AI71/(Balance!EK71+Balance!FU71)*100</f>
        <v>18.693626951390005</v>
      </c>
      <c r="O71" s="9" t="e">
        <f>(Balance!DS71-Balance!DU71+Balance!EQ71-Balance!ES71)/'Profit and loss'!Z71</f>
        <v>#DIV/0!</v>
      </c>
    </row>
    <row r="72" spans="1:15" x14ac:dyDescent="0.25">
      <c r="A72" s="9">
        <v>18</v>
      </c>
      <c r="B72" s="1" t="s">
        <v>134</v>
      </c>
      <c r="C72" s="9">
        <v>2019</v>
      </c>
      <c r="D72" s="9">
        <f>'Profit and loss'!AU72/Balance!DQ72</f>
        <v>4.1231405372452118E-3</v>
      </c>
      <c r="E72" s="22">
        <f>(Balance!DS72-Balance!DU72+Balance!EQ72-Balance!ES72)/Balance!DQ72</f>
        <v>1.178040153498632</v>
      </c>
      <c r="F72" s="9">
        <f>Balance!CY72/Balance!EQ72</f>
        <v>3.6621031210757722</v>
      </c>
      <c r="G72" s="9">
        <f>LN(Balance!DA72)</f>
        <v>18.169743386000079</v>
      </c>
      <c r="H72" s="9">
        <f>(Balance!GC72-Balance!FC72-Balance!ES72-Balance!EC72-Balance!DU72)/Balance!DA72</f>
        <v>0.43697805461508527</v>
      </c>
      <c r="I72" s="9">
        <f>'Profit and loss'!Z72/'Profit and loss'!P72</f>
        <v>5.2141803538385212E-2</v>
      </c>
      <c r="J72" s="9">
        <f>'Profit and loss'!P72/Balance!AY72</f>
        <v>1.8815458075890557</v>
      </c>
      <c r="K72" s="9">
        <f>LN(Balance!DQ72)</f>
        <v>17.178018911770135</v>
      </c>
      <c r="L72" s="9">
        <f>Balance!AW72/Balance!DA72</f>
        <v>0.29656317659705939</v>
      </c>
      <c r="M72" s="22">
        <f>'Profit and loss'!P72/Balance!DA72</f>
        <v>1.1245101106504263</v>
      </c>
      <c r="N72" s="9">
        <f>'Profit and loss'!AI72/(Balance!EK72+Balance!FU72)*100</f>
        <v>14.473805882352941</v>
      </c>
      <c r="O72" s="9">
        <f>(Balance!DS72-Balance!DU72+Balance!EQ72-Balance!ES72)/'Profit and loss'!Z72</f>
        <v>7.4526412050833146</v>
      </c>
    </row>
    <row r="73" spans="1:15" x14ac:dyDescent="0.25">
      <c r="A73" s="9">
        <v>18</v>
      </c>
      <c r="B73" s="8" t="s">
        <v>134</v>
      </c>
      <c r="C73" s="9">
        <v>2018</v>
      </c>
      <c r="D73" s="9">
        <f>'Profit and loss'!AU73/Balance!DQ73</f>
        <v>0.30004732100675519</v>
      </c>
      <c r="E73" s="22">
        <f>(Balance!DS73-Balance!DU73+Balance!EQ73-Balance!ES73)/Balance!DQ73</f>
        <v>0.61333631777753961</v>
      </c>
      <c r="F73" s="9">
        <f>Balance!CY73/Balance!EQ73</f>
        <v>4.5269810775834891</v>
      </c>
      <c r="G73" s="9">
        <f>LN(Balance!DA73)</f>
        <v>17.963339850789264</v>
      </c>
      <c r="H73" s="9">
        <f>(Balance!GC73-Balance!FC73-Balance!ES73-Balance!EC73-Balance!DU73)/Balance!DA73</f>
        <v>0.32472351965757068</v>
      </c>
      <c r="I73" s="9">
        <f>'Profit and loss'!Z73/'Profit and loss'!P73</f>
        <v>0.14538619276882736</v>
      </c>
      <c r="J73" s="9">
        <f>'Profit and loss'!P73/Balance!AY73</f>
        <v>3.5491574308671159</v>
      </c>
      <c r="K73" s="9">
        <f>LN(Balance!DQ73)</f>
        <v>17.327400534450305</v>
      </c>
      <c r="L73" s="9">
        <f>Balance!AW73/Balance!DA73</f>
        <v>0.33979170997148922</v>
      </c>
      <c r="M73" s="22">
        <f>'Profit and loss'!P73/Balance!DA73</f>
        <v>1.5954846158599123</v>
      </c>
      <c r="N73" s="9">
        <f>'Profit and loss'!AI73/(Balance!EK73+Balance!FU73)*100</f>
        <v>14.746650590519625</v>
      </c>
      <c r="O73" s="9">
        <f>(Balance!DS73-Balance!DU73+Balance!EQ73-Balance!ES73)/'Profit and loss'!Z73</f>
        <v>1.3999030535740362</v>
      </c>
    </row>
    <row r="74" spans="1:15" x14ac:dyDescent="0.25">
      <c r="A74" s="9">
        <v>19</v>
      </c>
      <c r="B74" s="1" t="s">
        <v>135</v>
      </c>
      <c r="C74" s="9">
        <v>2021</v>
      </c>
      <c r="D74" s="9">
        <f>'Profit and loss'!AU74/Balance!DQ74</f>
        <v>1.8385420302118875E-3</v>
      </c>
      <c r="E74" s="22">
        <f>(Balance!DS74-Balance!DU74+Balance!EQ74-Balance!ES74)/Balance!DQ74</f>
        <v>1.487539405699007</v>
      </c>
      <c r="F74" s="9">
        <f>Balance!CY74/Balance!EQ74</f>
        <v>0.44152434009441827</v>
      </c>
      <c r="G74" s="9">
        <f>LN(Balance!DA74)</f>
        <v>18.128806619248049</v>
      </c>
      <c r="H74" s="9">
        <f>(Balance!GC74-Balance!FC74-Balance!ES74-Balance!EC74-Balance!DU74)/Balance!DA74</f>
        <v>-6.2348994811033819E-17</v>
      </c>
      <c r="I74" s="9" t="e">
        <f>'Profit and loss'!Z74/'Profit and loss'!P74</f>
        <v>#DIV/0!</v>
      </c>
      <c r="J74" s="9" t="e">
        <f>'Profit and loss'!P74/Balance!AY74</f>
        <v>#DIV/0!</v>
      </c>
      <c r="K74" s="9">
        <f>LN(Balance!DQ74)</f>
        <v>17.136695250946762</v>
      </c>
      <c r="L74" s="9">
        <f>Balance!AW74/Balance!DA74</f>
        <v>0.72218978721907301</v>
      </c>
      <c r="M74" s="22">
        <f>'Profit and loss'!P74/Balance!DA74</f>
        <v>0</v>
      </c>
      <c r="N74" s="9" t="e">
        <f>'Profit and loss'!AI74/(Balance!EK74+Balance!FU74)*100</f>
        <v>#DIV/0!</v>
      </c>
      <c r="O74" s="9" t="e">
        <f>(Balance!DS74-Balance!DU74+Balance!EQ74-Balance!ES74)/'Profit and loss'!Z74</f>
        <v>#DIV/0!</v>
      </c>
    </row>
    <row r="75" spans="1:15" x14ac:dyDescent="0.25">
      <c r="A75" s="9">
        <v>19</v>
      </c>
      <c r="B75" s="1" t="s">
        <v>135</v>
      </c>
      <c r="C75" s="9">
        <v>2020</v>
      </c>
      <c r="D75" s="9">
        <f>'Profit and loss'!AU75/Balance!DQ75</f>
        <v>4.4978115713667065E-3</v>
      </c>
      <c r="E75" s="22">
        <f>(Balance!DS75-Balance!DU75+Balance!EQ75-Balance!ES75)/Balance!DQ75</f>
        <v>1.5956906496169154</v>
      </c>
      <c r="F75" s="9">
        <f>Balance!CY75/Balance!EQ75</f>
        <v>0.47766169531158587</v>
      </c>
      <c r="G75" s="9">
        <f>LN(Balance!DA75)</f>
        <v>18.193030665983418</v>
      </c>
      <c r="H75" s="9">
        <f>(Balance!GC75-Balance!FC75-Balance!ES75-Balance!EC75-Balance!DU75)/Balance!DA75</f>
        <v>0</v>
      </c>
      <c r="I75" s="9" t="e">
        <f>'Profit and loss'!Z75/'Profit and loss'!P75</f>
        <v>#DIV/0!</v>
      </c>
      <c r="J75" s="9">
        <f>'Profit and loss'!P75/Balance!AY75</f>
        <v>0</v>
      </c>
      <c r="K75" s="9">
        <f>LN(Balance!DQ75)</f>
        <v>17.146024532846724</v>
      </c>
      <c r="L75" s="9">
        <f>Balance!AW75/Balance!DA75</f>
        <v>0.68999134345180491</v>
      </c>
      <c r="M75" s="22">
        <f>'Profit and loss'!P75/Balance!DA75</f>
        <v>0</v>
      </c>
      <c r="N75" s="9" t="e">
        <f>'Profit and loss'!AI75/(Balance!EK75+Balance!FU75)*100</f>
        <v>#DIV/0!</v>
      </c>
      <c r="O75" s="9" t="e">
        <f>(Balance!DS75-Balance!DU75+Balance!EQ75-Balance!ES75)/'Profit and loss'!Z75</f>
        <v>#DIV/0!</v>
      </c>
    </row>
    <row r="76" spans="1:15" x14ac:dyDescent="0.25">
      <c r="A76" s="9">
        <v>19</v>
      </c>
      <c r="B76" s="1" t="s">
        <v>135</v>
      </c>
      <c r="C76" s="9">
        <v>2019</v>
      </c>
      <c r="D76" s="9">
        <f>'Profit and loss'!AU76/Balance!DQ76</f>
        <v>7.0637599575577359E-2</v>
      </c>
      <c r="E76" s="22">
        <f>(Balance!DS76-Balance!DU76+Balance!EQ76-Balance!ES76)/Balance!DQ76</f>
        <v>1.6029004801419515</v>
      </c>
      <c r="F76" s="9">
        <f>Balance!CY76/Balance!EQ76</f>
        <v>0.47561438687553126</v>
      </c>
      <c r="G76" s="9">
        <f>LN(Balance!DA76)</f>
        <v>18.194228750774968</v>
      </c>
      <c r="H76" s="9">
        <f>(Balance!GC76-Balance!FC76-Balance!ES76-Balance!EC76-Balance!DU76)/Balance!DA76</f>
        <v>0</v>
      </c>
      <c r="I76" s="9" t="e">
        <f>'Profit and loss'!Z76/'Profit and loss'!P76</f>
        <v>#DIV/0!</v>
      </c>
      <c r="J76" s="9">
        <f>'Profit and loss'!P76/Balance!AY76</f>
        <v>0</v>
      </c>
      <c r="K76" s="9">
        <f>LN(Balance!DQ76)</f>
        <v>17.141516575687501</v>
      </c>
      <c r="L76" s="9">
        <f>Balance!AW76/Balance!DA76</f>
        <v>0.69037025067873559</v>
      </c>
      <c r="M76" s="22">
        <f>'Profit and loss'!P76/Balance!DA76</f>
        <v>0</v>
      </c>
      <c r="N76" s="9" t="e">
        <f>'Profit and loss'!AI76/(Balance!EK76+Balance!FU76)*100</f>
        <v>#DIV/0!</v>
      </c>
      <c r="O76" s="9">
        <f>(Balance!DS76-Balance!DU76+Balance!EQ76-Balance!ES76)/'Profit and loss'!Z76</f>
        <v>63.035084595338638</v>
      </c>
    </row>
    <row r="77" spans="1:15" x14ac:dyDescent="0.25">
      <c r="A77" s="9">
        <v>19</v>
      </c>
      <c r="B77" s="8" t="s">
        <v>135</v>
      </c>
      <c r="C77" s="9">
        <v>2018</v>
      </c>
      <c r="D77" s="9">
        <f>'Profit and loss'!AU77/Balance!DQ77</f>
        <v>2.208411479231033E-2</v>
      </c>
      <c r="E77" s="22">
        <f>(Balance!DS77-Balance!DU77+Balance!EQ77-Balance!ES77)/Balance!DQ77</f>
        <v>1.7245877235561069</v>
      </c>
      <c r="F77" s="9">
        <f>Balance!CY77/Balance!EQ77</f>
        <v>0.33716550046141192</v>
      </c>
      <c r="G77" s="9">
        <f>LN(Balance!DA77)</f>
        <v>18.181652470817198</v>
      </c>
      <c r="H77" s="9">
        <f>(Balance!GC77-Balance!FC77-Balance!ES77-Balance!EC77-Balance!DU77)/Balance!DA77</f>
        <v>0</v>
      </c>
      <c r="I77" s="9" t="e">
        <f>'Profit and loss'!Z77/'Profit and loss'!P77</f>
        <v>#DIV/0!</v>
      </c>
      <c r="J77" s="9">
        <f>'Profit and loss'!P77/Balance!AY77</f>
        <v>0</v>
      </c>
      <c r="K77" s="9">
        <f>LN(Balance!DQ77)</f>
        <v>17.068260095453986</v>
      </c>
      <c r="L77" s="9">
        <f>Balance!AW77/Balance!DA77</f>
        <v>0.7735741033488478</v>
      </c>
      <c r="M77" s="22">
        <f>'Profit and loss'!P77/Balance!DA77</f>
        <v>0</v>
      </c>
      <c r="N77" s="9" t="e">
        <f>'Profit and loss'!AI77/(Balance!EK77+Balance!FU77)*100</f>
        <v>#DIV/0!</v>
      </c>
      <c r="O77" s="9" t="e">
        <f>(Balance!DS77-Balance!DU77+Balance!EQ77-Balance!ES77)/'Profit and loss'!Z77</f>
        <v>#DIV/0!</v>
      </c>
    </row>
    <row r="78" spans="1:15" x14ac:dyDescent="0.25">
      <c r="A78" s="9">
        <v>20</v>
      </c>
      <c r="B78" s="1" t="s">
        <v>136</v>
      </c>
      <c r="C78" s="9">
        <v>2021</v>
      </c>
      <c r="D78" s="9">
        <f>'Profit and loss'!AU78/Balance!DQ78</f>
        <v>-0.31739069516627466</v>
      </c>
      <c r="E78" s="22">
        <f>(Balance!DS78-Balance!DU78+Balance!EQ78-Balance!ES78)/Balance!DQ78</f>
        <v>0.18029925090654381</v>
      </c>
      <c r="F78" s="9">
        <f>Balance!CY78/Balance!EQ78</f>
        <v>0.72412783578287165</v>
      </c>
      <c r="G78" s="9">
        <f>LN(Balance!DA78)</f>
        <v>14.764353901303224</v>
      </c>
      <c r="H78" s="9">
        <f>(Balance!GC78-Balance!FC78-Balance!ES78-Balance!EC78-Balance!DU78)/Balance!DA78</f>
        <v>0.11036598728346386</v>
      </c>
      <c r="I78" s="9">
        <f>'Profit and loss'!Z78/'Profit and loss'!P78</f>
        <v>0</v>
      </c>
      <c r="J78" s="9">
        <f>'Profit and loss'!P78/Balance!AY78</f>
        <v>0.18933723171972006</v>
      </c>
      <c r="K78" s="9">
        <f>LN(Balance!DQ78)</f>
        <v>14.273537925982568</v>
      </c>
      <c r="L78" s="9">
        <f>Balance!AW78/Balance!DA78</f>
        <v>0.71913015399679647</v>
      </c>
      <c r="M78" s="22">
        <f>'Profit and loss'!P78/Balance!DA78</f>
        <v>1.1646071930327764E-2</v>
      </c>
      <c r="N78" s="9" t="e">
        <f>'Profit and loss'!AI78/(Balance!EK78+Balance!FU78)*100</f>
        <v>#DIV/0!</v>
      </c>
      <c r="O78" s="9" t="e">
        <f>(Balance!DS78-Balance!DU78+Balance!EQ78-Balance!ES78)/'Profit and loss'!Z78</f>
        <v>#DIV/0!</v>
      </c>
    </row>
    <row r="79" spans="1:15" x14ac:dyDescent="0.25">
      <c r="A79" s="9">
        <v>20</v>
      </c>
      <c r="B79" s="1" t="s">
        <v>136</v>
      </c>
      <c r="C79" s="9">
        <v>2020</v>
      </c>
      <c r="D79" s="9">
        <f>'Profit and loss'!AU79/Balance!DQ79</f>
        <v>-0.25959094560393736</v>
      </c>
      <c r="E79" s="22">
        <f>(Balance!DS79-Balance!DU79+Balance!EQ79-Balance!ES79)/Balance!DQ79</f>
        <v>0.13273072223047638</v>
      </c>
      <c r="F79" s="9">
        <f>Balance!CY79/Balance!EQ79</f>
        <v>1.1906664859328417</v>
      </c>
      <c r="G79" s="9">
        <f>LN(Balance!DA79)</f>
        <v>14.945516359584444</v>
      </c>
      <c r="H79" s="9">
        <f>(Balance!GC79-Balance!FC79-Balance!ES79-Balance!EC79-Balance!DU79)/Balance!DA79</f>
        <v>9.2078322085585196E-2</v>
      </c>
      <c r="I79" s="9">
        <f>'Profit and loss'!Z79/'Profit and loss'!P79</f>
        <v>0</v>
      </c>
      <c r="J79" s="9">
        <f>'Profit and loss'!P79/Balance!AY79</f>
        <v>4.2841388018755082E-2</v>
      </c>
      <c r="K79" s="9">
        <f>LN(Balance!DQ79)</f>
        <v>14.579833470503415</v>
      </c>
      <c r="L79" s="9">
        <f>Balance!AW79/Balance!DA79</f>
        <v>0.63532595090764166</v>
      </c>
      <c r="M79" s="22">
        <f>'Profit and loss'!P79/Balance!DA79</f>
        <v>8.7814046183654591E-3</v>
      </c>
      <c r="N79" s="9" t="e">
        <f>'Profit and loss'!AI79/(Balance!EK79+Balance!FU79)*100</f>
        <v>#DIV/0!</v>
      </c>
      <c r="O79" s="9" t="e">
        <f>(Balance!DS79-Balance!DU79+Balance!EQ79-Balance!ES79)/'Profit and loss'!Z79</f>
        <v>#DIV/0!</v>
      </c>
    </row>
    <row r="80" spans="1:15" x14ac:dyDescent="0.25">
      <c r="A80" s="9">
        <v>20</v>
      </c>
      <c r="B80" s="1" t="s">
        <v>136</v>
      </c>
      <c r="C80" s="9">
        <v>2019</v>
      </c>
      <c r="D80" s="9">
        <f>'Profit and loss'!AU80/Balance!DQ80</f>
        <v>0.5600995709435439</v>
      </c>
      <c r="E80" s="22">
        <f>(Balance!DS80-Balance!DU80+Balance!EQ80-Balance!ES80)/Balance!DQ80</f>
        <v>0</v>
      </c>
      <c r="F80" s="9">
        <f>Balance!CY80/Balance!EQ80</f>
        <v>1.619292320562618</v>
      </c>
      <c r="G80" s="9">
        <f>LN(Balance!DA80)</f>
        <v>15.549782786353532</v>
      </c>
      <c r="H80" s="9">
        <f>(Balance!GC80-Balance!FC80-Balance!ES80-Balance!EC80-Balance!DU80)/Balance!DA80</f>
        <v>0</v>
      </c>
      <c r="I80" s="9">
        <f>'Profit and loss'!Z80/'Profit and loss'!P80</f>
        <v>0.40760586647313646</v>
      </c>
      <c r="J80" s="9">
        <f>'Profit and loss'!P80/Balance!AY80</f>
        <v>2.5492248355462293</v>
      </c>
      <c r="K80" s="9">
        <f>LN(Balance!DQ80)</f>
        <v>15.329768204154917</v>
      </c>
      <c r="L80" s="9">
        <f>Balance!AW80/Balance!DA80</f>
        <v>0.68020125647356511</v>
      </c>
      <c r="M80" s="22">
        <f>'Profit and loss'!P80/Balance!DA80</f>
        <v>0.57436265548778187</v>
      </c>
      <c r="N80" s="9" t="e">
        <f>'Profit and loss'!AI80/(Balance!EK80+Balance!FU80)*100</f>
        <v>#DIV/0!</v>
      </c>
      <c r="O80" s="9">
        <f>(Balance!DS80-Balance!DU80+Balance!EQ80-Balance!ES80)/'Profit and loss'!Z80</f>
        <v>0</v>
      </c>
    </row>
    <row r="81" spans="1:15" x14ac:dyDescent="0.25">
      <c r="A81" s="9">
        <v>20</v>
      </c>
      <c r="B81" s="8" t="s">
        <v>136</v>
      </c>
      <c r="C81" s="9">
        <v>2018</v>
      </c>
      <c r="D81" s="9">
        <f>'Profit and loss'!AU81/Balance!DQ81</f>
        <v>-0.11420491503428784</v>
      </c>
      <c r="E81" s="22">
        <f>(Balance!DS81-Balance!DU81+Balance!EQ81-Balance!ES81)/Balance!DQ81</f>
        <v>0.19072863827267308</v>
      </c>
      <c r="F81" s="9">
        <f>Balance!CY81/Balance!EQ81</f>
        <v>0.95595374911911002</v>
      </c>
      <c r="G81" s="9">
        <f>LN(Balance!DA81)</f>
        <v>15.794188800574242</v>
      </c>
      <c r="H81" s="9">
        <f>(Balance!GC81-Balance!FC81-Balance!ES81-Balance!EC81-Balance!DU81)/Balance!DA81</f>
        <v>0.10198434735757908</v>
      </c>
      <c r="I81" s="9">
        <f>'Profit and loss'!Z81/'Profit and loss'!P81</f>
        <v>0</v>
      </c>
      <c r="J81" s="9">
        <f>'Profit and loss'!P81/Balance!AY81</f>
        <v>1.9028010473181765</v>
      </c>
      <c r="K81" s="9">
        <f>LN(Balance!DQ81)</f>
        <v>15.168156468996264</v>
      </c>
      <c r="L81" s="9">
        <f>Balance!AW81/Balance!DA81</f>
        <v>0.5552034640339798</v>
      </c>
      <c r="M81" s="22">
        <f>'Profit and loss'!P81/Balance!DA81</f>
        <v>0.68775697562991478</v>
      </c>
      <c r="N81" s="9" t="e">
        <f>'Profit and loss'!AI81/(Balance!EK81+Balance!FU81)*100</f>
        <v>#DIV/0!</v>
      </c>
      <c r="O81" s="9" t="e">
        <f>(Balance!DS81-Balance!DU81+Balance!EQ81-Balance!ES81)/'Profit and loss'!Z81</f>
        <v>#DIV/0!</v>
      </c>
    </row>
    <row r="82" spans="1:15" x14ac:dyDescent="0.25">
      <c r="A82" s="9">
        <v>21</v>
      </c>
      <c r="B82" s="1" t="s">
        <v>137</v>
      </c>
      <c r="C82" s="9">
        <v>2021</v>
      </c>
      <c r="D82" s="9">
        <f>'Profit and loss'!AU82/Balance!DQ82</f>
        <v>0.21407510648146949</v>
      </c>
      <c r="E82" s="22">
        <f>(Balance!DS82-Balance!DU82+Balance!EQ82-Balance!ES82)/Balance!DQ82</f>
        <v>0.25597002603660712</v>
      </c>
      <c r="F82" s="9">
        <f>Balance!CY82/Balance!EQ82</f>
        <v>1.0266824449622327</v>
      </c>
      <c r="G82" s="9">
        <f>LN(Balance!DA82)</f>
        <v>17.661941452757638</v>
      </c>
      <c r="H82" s="9">
        <f>(Balance!GC82-Balance!FC82-Balance!ES82-Balance!EC82-Balance!DU82)/Balance!DA82</f>
        <v>0.1412707256381488</v>
      </c>
      <c r="I82" s="9">
        <f>'Profit and loss'!Z82/'Profit and loss'!P82</f>
        <v>11.903387622034971</v>
      </c>
      <c r="J82" s="9">
        <f>'Profit and loss'!P82/Balance!AY82</f>
        <v>5.1834932273127292E-2</v>
      </c>
      <c r="K82" s="9">
        <f>LN(Balance!DQ82)</f>
        <v>17.067559190371973</v>
      </c>
      <c r="L82" s="9">
        <f>Balance!AW82/Balance!DA82</f>
        <v>0.5399470789923444</v>
      </c>
      <c r="M82" s="22">
        <f>'Profit and loss'!P82/Balance!DA82</f>
        <v>1.2112018375232424E-2</v>
      </c>
      <c r="N82" s="9" t="e">
        <f>'Profit and loss'!AI82/(Balance!EK82+Balance!FU82)*100</f>
        <v>#DIV/0!</v>
      </c>
      <c r="O82" s="9">
        <f>(Balance!DS82-Balance!DU82+Balance!EQ82-Balance!ES82)/'Profit and loss'!Z82</f>
        <v>0.97986236791298287</v>
      </c>
    </row>
    <row r="83" spans="1:15" x14ac:dyDescent="0.25">
      <c r="A83" s="9">
        <v>21</v>
      </c>
      <c r="B83" s="1" t="s">
        <v>137</v>
      </c>
      <c r="C83" s="9">
        <v>2020</v>
      </c>
      <c r="D83" s="9">
        <f>'Profit and loss'!AU83/Balance!DQ83</f>
        <v>-0.98887882900527357</v>
      </c>
      <c r="E83" s="22">
        <f>(Balance!DS83-Balance!DU83+Balance!EQ83-Balance!ES83)/Balance!DQ83</f>
        <v>1.0898370185686777</v>
      </c>
      <c r="F83" s="9">
        <f>Balance!CY83/Balance!EQ83</f>
        <v>0.73981229285187589</v>
      </c>
      <c r="G83" s="9">
        <f>LN(Balance!DA83)</f>
        <v>17.745446524039721</v>
      </c>
      <c r="H83" s="9">
        <f>(Balance!GC83-Balance!FC83-Balance!ES83-Balance!EC83-Balance!DU83)/Balance!DA83</f>
        <v>0.43512898213053908</v>
      </c>
      <c r="I83" s="9">
        <f>'Profit and loss'!Z83/'Profit and loss'!P83</f>
        <v>0</v>
      </c>
      <c r="J83" s="9">
        <f>'Profit and loss'!P83/Balance!AY83</f>
        <v>3.8007679936928387</v>
      </c>
      <c r="K83" s="9">
        <f>LN(Balance!DQ83)</f>
        <v>16.827305582028323</v>
      </c>
      <c r="L83" s="9">
        <f>Balance!AW83/Balance!DA83</f>
        <v>0.55556560721163828</v>
      </c>
      <c r="M83" s="22">
        <f>'Profit and loss'!P83/Balance!DA83</f>
        <v>0.77734759963898903</v>
      </c>
      <c r="N83" s="9">
        <f>'Profit and loss'!AI83/(Balance!EK83+Balance!FU83)*100</f>
        <v>39.080076198980713</v>
      </c>
      <c r="O83" s="9" t="e">
        <f>(Balance!DS83-Balance!DU83+Balance!EQ83-Balance!ES83)/'Profit and loss'!Z83</f>
        <v>#DIV/0!</v>
      </c>
    </row>
    <row r="84" spans="1:15" x14ac:dyDescent="0.25">
      <c r="A84" s="9">
        <v>21</v>
      </c>
      <c r="B84" s="1" t="s">
        <v>137</v>
      </c>
      <c r="C84" s="9">
        <v>2019</v>
      </c>
      <c r="D84" s="9">
        <f>'Profit and loss'!AU84/Balance!DQ84</f>
        <v>-0.11246069132845979</v>
      </c>
      <c r="E84" s="22">
        <f>(Balance!DS84-Balance!DU84+Balance!EQ84-Balance!ES84)/Balance!DQ84</f>
        <v>0.9689500357112848</v>
      </c>
      <c r="F84" s="9">
        <f>Balance!CY84/Balance!EQ84</f>
        <v>1.1533721664291932</v>
      </c>
      <c r="G84" s="9">
        <f>LN(Balance!DA84)</f>
        <v>18.308346389734314</v>
      </c>
      <c r="H84" s="9">
        <f>(Balance!GC84-Balance!FC84-Balance!ES84-Balance!EC84-Balance!DU84)/Balance!DA84</f>
        <v>0.4128773006916131</v>
      </c>
      <c r="I84" s="9">
        <f>'Profit and loss'!Z84/'Profit and loss'!P84</f>
        <v>0</v>
      </c>
      <c r="J84" s="9">
        <f>'Profit and loss'!P84/Balance!AY84</f>
        <v>1.5471099591889801</v>
      </c>
      <c r="K84" s="9">
        <f>LN(Balance!DQ84)</f>
        <v>17.455283797970257</v>
      </c>
      <c r="L84" s="9">
        <f>Balance!AW84/Balance!DA84</f>
        <v>0.33884038650918674</v>
      </c>
      <c r="M84" s="22">
        <f>'Profit and loss'!P84/Balance!DA84</f>
        <v>0.67450380554694445</v>
      </c>
      <c r="N84" s="9">
        <f>'Profit and loss'!AI84/(Balance!EK84+Balance!FU84)*100</f>
        <v>9.343330392649813</v>
      </c>
      <c r="O84" s="9" t="e">
        <f>(Balance!DS84-Balance!DU84+Balance!EQ84-Balance!ES84)/'Profit and loss'!Z84</f>
        <v>#DIV/0!</v>
      </c>
    </row>
    <row r="85" spans="1:15" x14ac:dyDescent="0.25">
      <c r="A85" s="9">
        <v>21</v>
      </c>
      <c r="B85" s="8" t="s">
        <v>137</v>
      </c>
      <c r="C85" s="9">
        <v>2018</v>
      </c>
      <c r="D85" s="9">
        <f>'Profit and loss'!AU85/Balance!DQ85</f>
        <v>6.9983326238662547E-2</v>
      </c>
      <c r="E85" s="22">
        <f>(Balance!DS85-Balance!DU85+Balance!EQ85-Balance!ES85)/Balance!DQ85</f>
        <v>0.42662521552726979</v>
      </c>
      <c r="F85" s="9">
        <f>Balance!CY85/Balance!EQ85</f>
        <v>1.1541052449303788</v>
      </c>
      <c r="G85" s="9">
        <f>LN(Balance!DA85)</f>
        <v>18.028647586936462</v>
      </c>
      <c r="H85" s="9">
        <f>(Balance!GC85-Balance!FC85-Balance!ES85-Balance!EC85-Balance!DU85)/Balance!DA85</f>
        <v>0.20882989418198103</v>
      </c>
      <c r="I85" s="9">
        <f>'Profit and loss'!Z85/'Profit and loss'!P85</f>
        <v>3.668328181284005E-2</v>
      </c>
      <c r="J85" s="9">
        <f>'Profit and loss'!P85/Balance!AY85</f>
        <v>6.2646899534273093</v>
      </c>
      <c r="K85" s="9">
        <f>LN(Balance!DQ85)</f>
        <v>17.314261691648426</v>
      </c>
      <c r="L85" s="9">
        <f>Balance!AW85/Balance!DA85</f>
        <v>0.43893684794279841</v>
      </c>
      <c r="M85" s="22">
        <f>'Profit and loss'!P85/Balance!DA85</f>
        <v>1.4887149453845658</v>
      </c>
      <c r="N85" s="9">
        <f>'Profit and loss'!AI85/(Balance!EK85+Balance!FU85)*100</f>
        <v>8.6267972213682338</v>
      </c>
      <c r="O85" s="9">
        <f>(Balance!DS85-Balance!DU85+Balance!EQ85-Balance!ES85)/'Profit and loss'!Z85</f>
        <v>3.8239564526680763</v>
      </c>
    </row>
    <row r="86" spans="1:15" x14ac:dyDescent="0.25">
      <c r="A86" s="9">
        <v>22</v>
      </c>
      <c r="B86" s="1" t="s">
        <v>138</v>
      </c>
      <c r="C86" s="9">
        <v>2021</v>
      </c>
      <c r="D86" s="9">
        <f>'Profit and loss'!AU86/Balance!DQ86</f>
        <v>2.8542298804684015E-3</v>
      </c>
      <c r="E86" s="22">
        <f>(Balance!DS86-Balance!DU86+Balance!EQ86-Balance!ES86)/Balance!DQ86</f>
        <v>0</v>
      </c>
      <c r="F86" s="9">
        <f>Balance!CY86/Balance!EQ86</f>
        <v>4.2140306897410671</v>
      </c>
      <c r="G86" s="9">
        <f>LN(Balance!DA86)</f>
        <v>16.893434520783622</v>
      </c>
      <c r="H86" s="9">
        <f>(Balance!GC86-Balance!FC86-Balance!ES86-Balance!EC86-Balance!DU86)/Balance!DA86</f>
        <v>0</v>
      </c>
      <c r="I86" s="9">
        <f>'Profit and loss'!Z86/'Profit and loss'!P86</f>
        <v>7.1062511401735057E-3</v>
      </c>
      <c r="J86" s="9">
        <f>'Profit and loss'!P86/Balance!AY86</f>
        <v>0.67807916050005135</v>
      </c>
      <c r="K86" s="9">
        <f>LN(Balance!DQ86)</f>
        <v>16.796230051566056</v>
      </c>
      <c r="L86" s="9">
        <f>Balance!AW86/Balance!DA86</f>
        <v>0.60965626654805416</v>
      </c>
      <c r="M86" s="22">
        <f>'Profit and loss'!P86/Balance!DA86</f>
        <v>0.12016849781962907</v>
      </c>
      <c r="N86" s="9" t="e">
        <f>'Profit and loss'!AI86/(Balance!EK86+Balance!FU86)*100</f>
        <v>#DIV/0!</v>
      </c>
      <c r="O86" s="9">
        <f>(Balance!DS86-Balance!DU86+Balance!EQ86-Balance!ES86)/'Profit and loss'!Z86</f>
        <v>0</v>
      </c>
    </row>
    <row r="87" spans="1:15" x14ac:dyDescent="0.25">
      <c r="A87" s="9">
        <v>22</v>
      </c>
      <c r="B87" s="1" t="s">
        <v>138</v>
      </c>
      <c r="C87" s="9">
        <v>2020</v>
      </c>
      <c r="D87" s="9">
        <f>'Profit and loss'!AU87/Balance!DQ87</f>
        <v>1.8734316742829479E-2</v>
      </c>
      <c r="E87" s="22">
        <f>(Balance!DS87-Balance!DU87+Balance!EQ87-Balance!ES87)/Balance!DQ87</f>
        <v>0</v>
      </c>
      <c r="F87" s="9">
        <f>Balance!CY87/Balance!EQ87</f>
        <v>0.41017492538853345</v>
      </c>
      <c r="G87" s="9">
        <f>LN(Balance!DA87)</f>
        <v>16.048434806427039</v>
      </c>
      <c r="H87" s="9">
        <f>(Balance!GC87-Balance!FC87-Balance!ES87-Balance!EC87-Balance!DU87)/Balance!DA87</f>
        <v>0</v>
      </c>
      <c r="I87" s="9">
        <f>'Profit and loss'!Z87/'Profit and loss'!P87</f>
        <v>0.16501478044674145</v>
      </c>
      <c r="J87" s="9" t="e">
        <f>'Profit and loss'!P87/Balance!AY87</f>
        <v>#DIV/0!</v>
      </c>
      <c r="K87" s="9">
        <f>LN(Balance!DQ87)</f>
        <v>15.8960688508453</v>
      </c>
      <c r="L87" s="9">
        <f>Balance!AW87/Balance!DA87</f>
        <v>0.94203161303817762</v>
      </c>
      <c r="M87" s="22">
        <f>'Profit and loss'!P87/Balance!DA87</f>
        <v>0.13691553248967714</v>
      </c>
      <c r="N87" s="9" t="e">
        <f>'Profit and loss'!AI87/(Balance!EK87+Balance!FU87)*100</f>
        <v>#DIV/0!</v>
      </c>
      <c r="O87" s="9">
        <f>(Balance!DS87-Balance!DU87+Balance!EQ87-Balance!ES87)/'Profit and loss'!Z87</f>
        <v>0</v>
      </c>
    </row>
    <row r="88" spans="1:15" x14ac:dyDescent="0.25">
      <c r="A88" s="9">
        <v>22</v>
      </c>
      <c r="B88" s="1" t="s">
        <v>138</v>
      </c>
      <c r="C88" s="9">
        <v>2019</v>
      </c>
      <c r="D88" s="9">
        <f>'Profit and loss'!AU88/Balance!DQ88</f>
        <v>0.38578133039661922</v>
      </c>
      <c r="E88" s="22">
        <f>(Balance!DS88-Balance!DU88+Balance!EQ88-Balance!ES88)/Balance!DQ88</f>
        <v>0.17634911793592029</v>
      </c>
      <c r="F88" s="9">
        <f>Balance!CY88/Balance!EQ88</f>
        <v>0.70177480525487046</v>
      </c>
      <c r="G88" s="9">
        <f>LN(Balance!DA88)</f>
        <v>16.301287911912699</v>
      </c>
      <c r="H88" s="9">
        <f>(Balance!GC88-Balance!FC88-Balance!ES88-Balance!EC88-Balance!DU88)/Balance!DA88</f>
        <v>0.12447490531789267</v>
      </c>
      <c r="I88" s="9">
        <f>'Profit and loss'!Z88/'Profit and loss'!P88</f>
        <v>0.42860960041460849</v>
      </c>
      <c r="J88" s="9">
        <f>'Profit and loss'!P88/Balance!AY88</f>
        <v>6.1638957030575261</v>
      </c>
      <c r="K88" s="9">
        <f>LN(Balance!DQ88)</f>
        <v>15.952926388900512</v>
      </c>
      <c r="L88" s="9">
        <f>Balance!AW88/Balance!DA88</f>
        <v>0.79356848571823224</v>
      </c>
      <c r="M88" s="22">
        <f>'Profit and loss'!P88/Balance!DA88</f>
        <v>0.72198051147612829</v>
      </c>
      <c r="N88" s="9" t="e">
        <f>'Profit and loss'!AI88/(Balance!EK88+Balance!FU88)*100</f>
        <v>#DIV/0!</v>
      </c>
      <c r="O88" s="9">
        <f>(Balance!DS88-Balance!DU88+Balance!EQ88-Balance!ES88)/'Profit and loss'!Z88</f>
        <v>0.4022485018597603</v>
      </c>
    </row>
    <row r="89" spans="1:15" x14ac:dyDescent="0.25">
      <c r="A89" s="9">
        <v>22</v>
      </c>
      <c r="B89" s="8" t="s">
        <v>138</v>
      </c>
      <c r="C89" s="9">
        <v>2018</v>
      </c>
      <c r="D89" s="9">
        <f>'Profit and loss'!AU89/Balance!DQ89</f>
        <v>0.20344027216728403</v>
      </c>
      <c r="E89" s="22">
        <f>(Balance!DS89-Balance!DU89+Balance!EQ89-Balance!ES89)/Balance!DQ89</f>
        <v>3.1436509458253672E-2</v>
      </c>
      <c r="F89" s="9">
        <f>Balance!CY89/Balance!EQ89</f>
        <v>1.1108615312762358</v>
      </c>
      <c r="G89" s="9">
        <f>LN(Balance!DA89)</f>
        <v>16.423839719038497</v>
      </c>
      <c r="H89" s="9">
        <f>(Balance!GC89-Balance!FC89-Balance!ES89-Balance!EC89-Balance!DU89)/Balance!DA89</f>
        <v>1.3875822864882368E-2</v>
      </c>
      <c r="I89" s="9">
        <f>'Profit and loss'!Z89/'Profit and loss'!P89</f>
        <v>0.13362648767385019</v>
      </c>
      <c r="J89" s="9">
        <f>'Profit and loss'!P89/Balance!AY89</f>
        <v>2.0060880251245394</v>
      </c>
      <c r="K89" s="9">
        <f>LN(Balance!DQ89)</f>
        <v>15.606017743412202</v>
      </c>
      <c r="L89" s="9">
        <f>Balance!AW89/Balance!DA89</f>
        <v>0.37946382930078104</v>
      </c>
      <c r="M89" s="22">
        <f>'Profit and loss'!P89/Balance!DA89</f>
        <v>1.049824886633725</v>
      </c>
      <c r="N89" s="9" t="e">
        <f>'Profit and loss'!AI89/(Balance!EK89+Balance!FU89)*100</f>
        <v>#DIV/0!</v>
      </c>
      <c r="O89" s="9">
        <f>(Balance!DS89-Balance!DU89+Balance!EQ89-Balance!ES89)/'Profit and loss'!Z89</f>
        <v>9.8912078968785275E-2</v>
      </c>
    </row>
    <row r="90" spans="1:15" x14ac:dyDescent="0.25">
      <c r="A90" s="9">
        <v>23</v>
      </c>
      <c r="B90" s="1" t="s">
        <v>122</v>
      </c>
      <c r="C90" s="9">
        <v>2021</v>
      </c>
      <c r="D90" s="9">
        <f>'Profit and loss'!AU90/Balance!DQ90</f>
        <v>0.14397737622055723</v>
      </c>
      <c r="E90" s="22">
        <f>(Balance!DS90-Balance!DU90+Balance!EQ90-Balance!ES90)/Balance!DQ90</f>
        <v>2.1177541083079957E-3</v>
      </c>
      <c r="F90" s="9">
        <f>Balance!CY90/Balance!EQ90</f>
        <v>9.1004511071589409</v>
      </c>
      <c r="G90" s="9">
        <f>LN(Balance!DA90)</f>
        <v>16.504722494622936</v>
      </c>
      <c r="H90" s="9">
        <f>(Balance!GC90-Balance!FC90-Balance!ES90-Balance!EC90-Balance!DU90)/Balance!DA90</f>
        <v>1.9292705857193216E-3</v>
      </c>
      <c r="I90" s="9">
        <f>'Profit and loss'!Z90/'Profit and loss'!P90</f>
        <v>0.1187117627710742</v>
      </c>
      <c r="J90" s="9">
        <f>'Profit and loss'!P90/Balance!AY90</f>
        <v>14.700022068035342</v>
      </c>
      <c r="K90" s="9">
        <f>LN(Balance!DQ90)</f>
        <v>16.411508346976227</v>
      </c>
      <c r="L90" s="9">
        <f>Balance!AW90/Balance!DA90</f>
        <v>0.19004521105910427</v>
      </c>
      <c r="M90" s="22">
        <f>'Profit and loss'!P90/Balance!DA90</f>
        <v>1.4571366537566293</v>
      </c>
      <c r="N90" s="9" t="e">
        <f>'Profit and loss'!AI90/(Balance!EK90+Balance!FU90)*100</f>
        <v>#DIV/0!</v>
      </c>
      <c r="O90" s="9">
        <f>(Balance!DS90-Balance!DU90+Balance!EQ90-Balance!ES90)/'Profit and loss'!Z90</f>
        <v>1.1153190140704018E-2</v>
      </c>
    </row>
    <row r="91" spans="1:15" x14ac:dyDescent="0.25">
      <c r="A91" s="9">
        <v>23</v>
      </c>
      <c r="B91" s="1" t="s">
        <v>122</v>
      </c>
      <c r="C91" s="9">
        <v>2020</v>
      </c>
      <c r="D91" s="9">
        <f>'Profit and loss'!AU91/Balance!DQ91</f>
        <v>0.44871701432133659</v>
      </c>
      <c r="E91" s="22">
        <f>(Balance!DS91-Balance!DU91+Balance!EQ91-Balance!ES91)/Balance!DQ91</f>
        <v>0</v>
      </c>
      <c r="F91" s="9">
        <f>Balance!CY91/Balance!EQ91</f>
        <v>11.369263693830545</v>
      </c>
      <c r="G91" s="9">
        <f>LN(Balance!DA91)</f>
        <v>16.323263793906612</v>
      </c>
      <c r="H91" s="9">
        <f>(Balance!GC91-Balance!FC91-Balance!ES91-Balance!EC91-Balance!DU91)/Balance!DA91</f>
        <v>0</v>
      </c>
      <c r="I91" s="9">
        <f>'Profit and loss'!Z91/'Profit and loss'!P91</f>
        <v>0.24404231972977608</v>
      </c>
      <c r="J91" s="9">
        <f>'Profit and loss'!P91/Balance!AY91</f>
        <v>14.203956201834057</v>
      </c>
      <c r="K91" s="9">
        <f>LN(Balance!DQ91)</f>
        <v>16.256049894342784</v>
      </c>
      <c r="L91" s="9">
        <f>Balance!AW91/Balance!DA91</f>
        <v>0.26094311557288874</v>
      </c>
      <c r="M91" s="22">
        <f>'Profit and loss'!P91/Balance!DA91</f>
        <v>2.0283204841691922</v>
      </c>
      <c r="N91" s="9" t="e">
        <f>'Profit and loss'!AI91/(Balance!EK91+Balance!FU91)*100</f>
        <v>#DIV/0!</v>
      </c>
      <c r="O91" s="9">
        <f>(Balance!DS91-Balance!DU91+Balance!EQ91-Balance!ES91)/'Profit and loss'!Z91</f>
        <v>0</v>
      </c>
    </row>
    <row r="92" spans="1:15" x14ac:dyDescent="0.25">
      <c r="A92" s="9">
        <v>23</v>
      </c>
      <c r="B92" s="1" t="s">
        <v>122</v>
      </c>
      <c r="C92" s="9">
        <v>2019</v>
      </c>
      <c r="D92" s="9">
        <f>'Profit and loss'!AU92/Balance!DQ92</f>
        <v>0.56553952378909511</v>
      </c>
      <c r="E92" s="22">
        <f>(Balance!DS92-Balance!DU92+Balance!EQ92-Balance!ES92)/Balance!DQ92</f>
        <v>0</v>
      </c>
      <c r="F92" s="9">
        <f>Balance!CY92/Balance!EQ92</f>
        <v>5.4254103982895279</v>
      </c>
      <c r="G92" s="9">
        <f>LN(Balance!DA92)</f>
        <v>15.758612964711952</v>
      </c>
      <c r="H92" s="9">
        <f>(Balance!GC92-Balance!FC92-Balance!ES92-Balance!EC92-Balance!DU92)/Balance!DA92</f>
        <v>0</v>
      </c>
      <c r="I92" s="9">
        <f>'Profit and loss'!Z92/'Profit and loss'!P92</f>
        <v>0.22332461486629077</v>
      </c>
      <c r="J92" s="9">
        <f>'Profit and loss'!P92/Balance!AY92</f>
        <v>9.8489022266174544</v>
      </c>
      <c r="K92" s="9">
        <f>LN(Balance!DQ92)</f>
        <v>15.653424867977185</v>
      </c>
      <c r="L92" s="9">
        <f>Balance!AW92/Balance!DA92</f>
        <v>0.4583009318311006</v>
      </c>
      <c r="M92" s="22">
        <f>'Profit and loss'!P92/Balance!DA92</f>
        <v>2.6278269453085144</v>
      </c>
      <c r="N92" s="9" t="e">
        <f>'Profit and loss'!AI92/(Balance!EK92+Balance!FU92)*100</f>
        <v>#DIV/0!</v>
      </c>
      <c r="O92" s="9">
        <f>(Balance!DS92-Balance!DU92+Balance!EQ92-Balance!ES92)/'Profit and loss'!Z92</f>
        <v>0</v>
      </c>
    </row>
    <row r="93" spans="1:15" x14ac:dyDescent="0.25">
      <c r="A93" s="9">
        <v>23</v>
      </c>
      <c r="B93" s="8" t="s">
        <v>122</v>
      </c>
      <c r="C93" s="9">
        <v>2018</v>
      </c>
      <c r="D93" s="9">
        <f>'Profit and loss'!AU93/Balance!DQ93</f>
        <v>7.9493670087267529E-2</v>
      </c>
      <c r="E93" s="22">
        <f>(Balance!DS93-Balance!DU93+Balance!EQ93-Balance!ES93)/Balance!DQ93</f>
        <v>6.8154334860232339E-4</v>
      </c>
      <c r="F93" s="9">
        <f>Balance!CY93/Balance!EQ93</f>
        <v>0.78732285913429523</v>
      </c>
      <c r="G93" s="9">
        <f>LN(Balance!DA93)</f>
        <v>15.618724342005965</v>
      </c>
      <c r="H93" s="9">
        <f>(Balance!GC93-Balance!FC93-Balance!ES93-Balance!EC93-Balance!DU93)/Balance!DA93</f>
        <v>2.8471997839555349E-4</v>
      </c>
      <c r="I93" s="9">
        <f>'Profit and loss'!Z93/'Profit and loss'!P93</f>
        <v>2.5108232855963097E-2</v>
      </c>
      <c r="J93" s="9">
        <f>'Profit and loss'!P93/Balance!AY93</f>
        <v>5.3621635913618908</v>
      </c>
      <c r="K93" s="9">
        <f>LN(Balance!DQ93)</f>
        <v>14.745870650580931</v>
      </c>
      <c r="L93" s="9">
        <f>Balance!AW93/Balance!DA93</f>
        <v>0.54158732376566554</v>
      </c>
      <c r="M93" s="22">
        <f>'Profit and loss'!P93/Balance!DA93</f>
        <v>1.8044438395609512</v>
      </c>
      <c r="N93" s="9" t="e">
        <f>'Profit and loss'!AI93/(Balance!EK93+Balance!FU93)*100</f>
        <v>#DIV/0!</v>
      </c>
      <c r="O93" s="9">
        <f>(Balance!DS93-Balance!DU93+Balance!EQ93-Balance!ES93)/'Profit and loss'!Z93</f>
        <v>6.2843219260282938E-3</v>
      </c>
    </row>
    <row r="94" spans="1:15" x14ac:dyDescent="0.25">
      <c r="A94" s="9">
        <v>24</v>
      </c>
      <c r="B94" s="1" t="s">
        <v>139</v>
      </c>
      <c r="C94" s="9">
        <v>2021</v>
      </c>
      <c r="D94" s="9">
        <f>'Profit and loss'!AU94/Balance!DQ94</f>
        <v>-0.2349287369469453</v>
      </c>
      <c r="E94" s="22">
        <f>(Balance!DS94-Balance!DU94+Balance!EQ94-Balance!ES94)/Balance!DQ94</f>
        <v>0.12593020325559295</v>
      </c>
      <c r="F94" s="9">
        <f>Balance!CY94/Balance!EQ94</f>
        <v>2.2717339600382291</v>
      </c>
      <c r="G94" s="9">
        <f>LN(Balance!DA94)</f>
        <v>15.031551804795916</v>
      </c>
      <c r="H94" s="9">
        <f>(Balance!GC94-Balance!FC94-Balance!ES94-Balance!EC94-Balance!DU94)/Balance!DA94</f>
        <v>7.9139127534689935E-2</v>
      </c>
      <c r="I94" s="9">
        <f>'Profit and loss'!Z94/'Profit and loss'!P94</f>
        <v>0</v>
      </c>
      <c r="J94" s="9">
        <f>'Profit and loss'!P94/Balance!AY94</f>
        <v>4.1954423593199026</v>
      </c>
      <c r="K94" s="9">
        <f>LN(Balance!DQ94)</f>
        <v>14.567031405311758</v>
      </c>
      <c r="L94" s="9">
        <f>Balance!AW94/Balance!DA94</f>
        <v>0.15590642281303022</v>
      </c>
      <c r="M94" s="22">
        <f>'Profit and loss'!P94/Balance!DA94</f>
        <v>3.306768630269465</v>
      </c>
      <c r="N94" s="9" t="e">
        <f>'Profit and loss'!AI94/(Balance!EK94+Balance!FU94)*100</f>
        <v>#DIV/0!</v>
      </c>
      <c r="O94" s="9" t="e">
        <f>(Balance!DS94-Balance!DU94+Balance!EQ94-Balance!ES94)/'Profit and loss'!Z94</f>
        <v>#DIV/0!</v>
      </c>
    </row>
    <row r="95" spans="1:15" x14ac:dyDescent="0.25">
      <c r="A95" s="9">
        <v>24</v>
      </c>
      <c r="B95" s="1" t="s">
        <v>139</v>
      </c>
      <c r="C95" s="9">
        <v>2020</v>
      </c>
      <c r="D95" s="9">
        <f>'Profit and loss'!AU95/Balance!DQ95</f>
        <v>9.6586070065956566E-4</v>
      </c>
      <c r="E95" s="22">
        <f>(Balance!DS95-Balance!DU95+Balance!EQ95-Balance!ES95)/Balance!DQ95</f>
        <v>0</v>
      </c>
      <c r="F95" s="9">
        <f>Balance!CY95/Balance!EQ95</f>
        <v>3.2589342635402327</v>
      </c>
      <c r="G95" s="9">
        <f>LN(Balance!DA95)</f>
        <v>15.061509847120679</v>
      </c>
      <c r="H95" s="9">
        <f>(Balance!GC95-Balance!FC95-Balance!ES95-Balance!EC95-Balance!DU95)/Balance!DA95</f>
        <v>0</v>
      </c>
      <c r="I95" s="9">
        <f>'Profit and loss'!Z95/'Profit and loss'!P95</f>
        <v>2.8575809903524972E-4</v>
      </c>
      <c r="J95" s="9">
        <f>'Profit and loss'!P95/Balance!AY95</f>
        <v>5.9673802680620405</v>
      </c>
      <c r="K95" s="9">
        <f>LN(Balance!DQ95)</f>
        <v>14.778070183035631</v>
      </c>
      <c r="L95" s="9">
        <f>Balance!AW95/Balance!DA95</f>
        <v>0.19565775813936631</v>
      </c>
      <c r="M95" s="22">
        <f>'Profit and loss'!P95/Balance!DA95</f>
        <v>4.31442578501309</v>
      </c>
      <c r="N95" s="9" t="e">
        <f>'Profit and loss'!AI95/(Balance!EK95+Balance!FU95)*100</f>
        <v>#DIV/0!</v>
      </c>
      <c r="O95" s="9">
        <f>(Balance!DS95-Balance!DU95+Balance!EQ95-Balance!ES95)/'Profit and loss'!Z95</f>
        <v>0</v>
      </c>
    </row>
    <row r="96" spans="1:15" x14ac:dyDescent="0.25">
      <c r="A96" s="9">
        <v>24</v>
      </c>
      <c r="B96" s="1" t="s">
        <v>139</v>
      </c>
      <c r="C96" s="9">
        <v>2019</v>
      </c>
      <c r="D96" s="9">
        <f>'Profit and loss'!AU96/Balance!DQ96</f>
        <v>0.24993438735594892</v>
      </c>
      <c r="E96" s="22">
        <f>(Balance!DS96-Balance!DU96+Balance!EQ96-Balance!ES96)/Balance!DQ96</f>
        <v>0</v>
      </c>
      <c r="F96" s="9">
        <f>Balance!CY96/Balance!EQ96</f>
        <v>2.5050367456835776</v>
      </c>
      <c r="G96" s="9">
        <f>LN(Balance!DA96)</f>
        <v>15.35541916934452</v>
      </c>
      <c r="H96" s="9">
        <f>(Balance!GC96-Balance!FC96-Balance!ES96-Balance!EC96-Balance!DU96)/Balance!DA96</f>
        <v>0</v>
      </c>
      <c r="I96" s="9">
        <f>'Profit and loss'!Z96/'Profit and loss'!P96</f>
        <v>3.8637958536634716E-2</v>
      </c>
      <c r="J96" s="9">
        <f>'Profit and loss'!P96/Balance!AY96</f>
        <v>6.8909900515001965</v>
      </c>
      <c r="K96" s="9">
        <f>LN(Balance!DQ96)</f>
        <v>14.925046960630551</v>
      </c>
      <c r="L96" s="9">
        <f>Balance!AW96/Balance!DA96</f>
        <v>0.12390602045725665</v>
      </c>
      <c r="M96" s="22">
        <f>'Profit and loss'!P96/Balance!DA96</f>
        <v>4.5137559485472636</v>
      </c>
      <c r="N96" s="9" t="e">
        <f>'Profit and loss'!AI96/(Balance!EK96+Balance!FU96)*100</f>
        <v>#DIV/0!</v>
      </c>
      <c r="O96" s="9">
        <f>(Balance!DS96-Balance!DU96+Balance!EQ96-Balance!ES96)/'Profit and loss'!Z96</f>
        <v>0</v>
      </c>
    </row>
    <row r="97" spans="1:15" x14ac:dyDescent="0.25">
      <c r="A97" s="9">
        <v>24</v>
      </c>
      <c r="B97" s="8" t="s">
        <v>139</v>
      </c>
      <c r="C97" s="9">
        <v>2018</v>
      </c>
      <c r="D97" s="9">
        <f>'Profit and loss'!AU97/Balance!DQ97</f>
        <v>0.18463709483737714</v>
      </c>
      <c r="E97" s="22">
        <f>(Balance!DS97-Balance!DU97+Balance!EQ97-Balance!ES97)/Balance!DQ97</f>
        <v>0</v>
      </c>
      <c r="F97" s="9">
        <f>Balance!CY97/Balance!EQ97</f>
        <v>2.4445870429504937</v>
      </c>
      <c r="G97" s="9">
        <f>LN(Balance!DA97)</f>
        <v>15.225213781190108</v>
      </c>
      <c r="H97" s="9">
        <f>(Balance!GC97-Balance!FC97-Balance!ES97-Balance!EC97-Balance!DU97)/Balance!DA97</f>
        <v>0</v>
      </c>
      <c r="I97" s="9">
        <f>'Profit and loss'!Z97/'Profit and loss'!P97</f>
        <v>7.4591283938622077E-2</v>
      </c>
      <c r="J97" s="9">
        <f>'Profit and loss'!P97/Balance!AY97</f>
        <v>7.4997056121290067</v>
      </c>
      <c r="K97" s="9">
        <f>LN(Balance!DQ97)</f>
        <v>14.763902875880811</v>
      </c>
      <c r="L97" s="9">
        <f>Balance!AW97/Balance!DA97</f>
        <v>9.6619077157524047E-2</v>
      </c>
      <c r="M97" s="22">
        <f>'Profit and loss'!P97/Balance!DA97</f>
        <v>4.862134347968369</v>
      </c>
      <c r="N97" s="9" t="e">
        <f>'Profit and loss'!AI97/(Balance!EK97+Balance!FU97)*100</f>
        <v>#DIV/0!</v>
      </c>
      <c r="O97" s="9">
        <f>(Balance!DS97-Balance!DU97+Balance!EQ97-Balance!ES97)/'Profit and loss'!Z97</f>
        <v>0</v>
      </c>
    </row>
    <row r="98" spans="1:15" x14ac:dyDescent="0.25">
      <c r="A98" s="9">
        <v>25</v>
      </c>
      <c r="B98" s="1" t="s">
        <v>140</v>
      </c>
      <c r="C98" s="9">
        <v>2021</v>
      </c>
      <c r="D98" s="9">
        <f>'Profit and loss'!AU98/Balance!DQ98</f>
        <v>5.6627865243783264E-2</v>
      </c>
      <c r="E98" s="22">
        <f>(Balance!DS98-Balance!DU98+Balance!EQ98-Balance!ES98)/Balance!DQ98</f>
        <v>0</v>
      </c>
      <c r="F98" s="9">
        <f>Balance!CY98/Balance!EQ98</f>
        <v>10.113484073105212</v>
      </c>
      <c r="G98" s="9">
        <f>LN(Balance!DA98)</f>
        <v>17.314738446287247</v>
      </c>
      <c r="H98" s="9">
        <f>(Balance!GC98-Balance!FC98-Balance!ES98-Balance!EC98-Balance!DU98)/Balance!DA98</f>
        <v>0</v>
      </c>
      <c r="I98" s="9">
        <f>'Profit and loss'!Z98/'Profit and loss'!P98</f>
        <v>8.2571799773145341E-2</v>
      </c>
      <c r="J98" s="9">
        <f>'Profit and loss'!P98/Balance!AY98</f>
        <v>1.1624852698240902</v>
      </c>
      <c r="K98" s="9">
        <f>LN(Balance!DQ98)</f>
        <v>17.224930309768155</v>
      </c>
      <c r="L98" s="9">
        <f>Balance!AW98/Balance!DA98</f>
        <v>0.13131798280520279</v>
      </c>
      <c r="M98" s="22">
        <f>'Profit and loss'!P98/Balance!DA98</f>
        <v>0.75344398967986992</v>
      </c>
      <c r="N98" s="9" t="e">
        <f>'Profit and loss'!AI98/(Balance!EK98+Balance!FU98)*100</f>
        <v>#DIV/0!</v>
      </c>
      <c r="O98" s="9">
        <f>(Balance!DS98-Balance!DU98+Balance!EQ98-Balance!ES98)/'Profit and loss'!Z98</f>
        <v>0</v>
      </c>
    </row>
    <row r="99" spans="1:15" x14ac:dyDescent="0.25">
      <c r="A99" s="9">
        <v>25</v>
      </c>
      <c r="B99" s="1" t="s">
        <v>140</v>
      </c>
      <c r="C99" s="9">
        <v>2020</v>
      </c>
      <c r="D99" s="9">
        <f>'Profit and loss'!AU99/Balance!DQ99</f>
        <v>0.14915202061968627</v>
      </c>
      <c r="E99" s="22">
        <f>(Balance!DS99-Balance!DU99+Balance!EQ99-Balance!ES99)/Balance!DQ99</f>
        <v>0</v>
      </c>
      <c r="F99" s="9">
        <f>Balance!CY99/Balance!EQ99</f>
        <v>9.5906237280296853</v>
      </c>
      <c r="G99" s="9">
        <f>LN(Balance!DA99)</f>
        <v>17.265759402987587</v>
      </c>
      <c r="H99" s="9">
        <f>(Balance!GC99-Balance!FC99-Balance!ES99-Balance!EC99-Balance!DU99)/Balance!DA99</f>
        <v>0</v>
      </c>
      <c r="I99" s="9">
        <f>'Profit and loss'!Z99/'Profit and loss'!P99</f>
        <v>0.11355206846094071</v>
      </c>
      <c r="J99" s="9">
        <f>'Profit and loss'!P99/Balance!AY99</f>
        <v>2.5865343380048693</v>
      </c>
      <c r="K99" s="9">
        <f>LN(Balance!DQ99)</f>
        <v>17.17412136832256</v>
      </c>
      <c r="L99" s="9">
        <f>Balance!AW99/Balance!DA99</f>
        <v>0.16020048347999977</v>
      </c>
      <c r="M99" s="22">
        <f>'Profit and loss'!P99/Balance!DA99</f>
        <v>1.4295378109441368</v>
      </c>
      <c r="N99" s="9" t="e">
        <f>'Profit and loss'!AI99/(Balance!EK99+Balance!FU99)*100</f>
        <v>#DIV/0!</v>
      </c>
      <c r="O99" s="9">
        <f>(Balance!DS99-Balance!DU99+Balance!EQ99-Balance!ES99)/'Profit and loss'!Z99</f>
        <v>0</v>
      </c>
    </row>
    <row r="100" spans="1:15" x14ac:dyDescent="0.25">
      <c r="A100" s="9">
        <v>25</v>
      </c>
      <c r="B100" s="1" t="s">
        <v>140</v>
      </c>
      <c r="C100" s="9">
        <v>2019</v>
      </c>
      <c r="D100" s="9">
        <f>'Profit and loss'!AU100/Balance!DQ100</f>
        <v>6.226751748803231E-2</v>
      </c>
      <c r="E100" s="22">
        <f>(Balance!DS100-Balance!DU100+Balance!EQ100-Balance!ES100)/Balance!DQ100</f>
        <v>0</v>
      </c>
      <c r="F100" s="9">
        <f>Balance!CY100/Balance!EQ100</f>
        <v>4.9456961267562818</v>
      </c>
      <c r="G100" s="9">
        <f>LN(Balance!DA100)</f>
        <v>17.199118651087879</v>
      </c>
      <c r="H100" s="9">
        <f>(Balance!GC100-Balance!FC100-Balance!ES100-Balance!EC100-Balance!DU100)/Balance!DA100</f>
        <v>0</v>
      </c>
      <c r="I100" s="9">
        <f>'Profit and loss'!Z100/'Profit and loss'!P100</f>
        <v>3.4324758617421437E-2</v>
      </c>
      <c r="J100" s="9">
        <f>'Profit and loss'!P100/Balance!AY100</f>
        <v>3.9153216353358911</v>
      </c>
      <c r="K100" s="9">
        <f>LN(Balance!DQ100)</f>
        <v>17.012567758378921</v>
      </c>
      <c r="L100" s="9">
        <f>Balance!AW100/Balance!DA100</f>
        <v>0.15832327886193051</v>
      </c>
      <c r="M100" s="22">
        <f>'Profit and loss'!P100/Balance!DA100</f>
        <v>1.7087985233200127</v>
      </c>
      <c r="N100" s="9" t="e">
        <f>'Profit and loss'!AI100/(Balance!EK100+Balance!FU100)*100</f>
        <v>#DIV/0!</v>
      </c>
      <c r="O100" s="9">
        <f>(Balance!DS100-Balance!DU100+Balance!EQ100-Balance!ES100)/'Profit and loss'!Z100</f>
        <v>0</v>
      </c>
    </row>
    <row r="101" spans="1:15" x14ac:dyDescent="0.25">
      <c r="A101" s="9">
        <v>25</v>
      </c>
      <c r="B101" s="8" t="s">
        <v>140</v>
      </c>
      <c r="C101" s="9">
        <v>2018</v>
      </c>
      <c r="D101" s="9">
        <f>'Profit and loss'!AU101/Balance!DQ101</f>
        <v>0.23687924274572342</v>
      </c>
      <c r="E101" s="22">
        <f>(Balance!DS101-Balance!DU101+Balance!EQ101-Balance!ES101)/Balance!DQ101</f>
        <v>0</v>
      </c>
      <c r="F101" s="9">
        <f>Balance!CY101/Balance!EQ101</f>
        <v>5.251701339824006</v>
      </c>
      <c r="G101" s="9">
        <f>LN(Balance!DA101)</f>
        <v>17.141219841177421</v>
      </c>
      <c r="H101" s="9">
        <f>(Balance!GC101-Balance!FC101-Balance!ES101-Balance!EC101-Balance!DU101)/Balance!DA101</f>
        <v>0</v>
      </c>
      <c r="I101" s="9">
        <f>'Profit and loss'!Z101/'Profit and loss'!P101</f>
        <v>0.15738403282808269</v>
      </c>
      <c r="J101" s="9">
        <f>'Profit and loss'!P101/Balance!AY101</f>
        <v>3.4426721987757221</v>
      </c>
      <c r="K101" s="9">
        <f>LN(Balance!DQ101)</f>
        <v>16.959131100462326</v>
      </c>
      <c r="L101" s="9">
        <f>Balance!AW101/Balance!DA101</f>
        <v>0.12573546240781794</v>
      </c>
      <c r="M101" s="22">
        <f>'Profit and loss'!P101/Balance!DA101</f>
        <v>1.3957147134323886</v>
      </c>
      <c r="N101" s="9" t="e">
        <f>'Profit and loss'!AI101/(Balance!EK101+Balance!FU101)*100</f>
        <v>#DIV/0!</v>
      </c>
      <c r="O101" s="9">
        <f>(Balance!DS101-Balance!DU101+Balance!EQ101-Balance!ES101)/'Profit and loss'!Z101</f>
        <v>0</v>
      </c>
    </row>
    <row r="102" spans="1:15" s="22" customFormat="1" x14ac:dyDescent="0.25">
      <c r="A102" s="22">
        <v>26</v>
      </c>
      <c r="B102" s="2" t="s">
        <v>141</v>
      </c>
      <c r="C102" s="22">
        <v>2021</v>
      </c>
      <c r="D102" s="22">
        <f>'Profit and loss'!AU102/Balance!DQ102</f>
        <v>0.25680203178200328</v>
      </c>
      <c r="E102" s="22">
        <f>(Balance!DS102-Balance!DU102+Balance!EQ102-Balance!ES102)/Balance!DQ102</f>
        <v>1.0753947954736196</v>
      </c>
      <c r="F102" s="22">
        <f>Balance!CY102/Balance!EQ102</f>
        <v>1.4416266168712626</v>
      </c>
      <c r="G102" s="22">
        <f>LN(Balance!DA102)</f>
        <v>17.763014928505442</v>
      </c>
      <c r="H102" s="22">
        <f>(Balance!GC102-Balance!FC102-Balance!ES102-Balance!EC102-Balance!DU102)/Balance!DA102</f>
        <v>0.45960524161747779</v>
      </c>
      <c r="I102" s="22">
        <f>'Profit and loss'!Z102/'Profit and loss'!P102</f>
        <v>8.3571347880535704E-2</v>
      </c>
      <c r="J102" s="22">
        <f>'Profit and loss'!P102/Balance!AY102</f>
        <v>4.232684176991663</v>
      </c>
      <c r="K102" s="22">
        <f>LN(Balance!DQ102)</f>
        <v>16.912939754408008</v>
      </c>
      <c r="L102" s="22">
        <f>Balance!AW102/Balance!DA102</f>
        <v>0.17532238643705506</v>
      </c>
      <c r="M102" s="22">
        <f>'Profit and loss'!P102/Balance!DA102</f>
        <v>1.7146893664675407</v>
      </c>
      <c r="N102" s="22" t="e">
        <f>'Profit and loss'!AI102/(Balance!EK102+Balance!FU102)*100</f>
        <v>#DIV/0!</v>
      </c>
      <c r="O102" s="22">
        <f>(Balance!DS102-Balance!DU102+Balance!EQ102-Balance!ES102)/'Profit and loss'!Z102</f>
        <v>3.2073186649677905</v>
      </c>
    </row>
    <row r="103" spans="1:15" s="22" customFormat="1" x14ac:dyDescent="0.25">
      <c r="A103" s="22">
        <v>26</v>
      </c>
      <c r="B103" s="2" t="s">
        <v>141</v>
      </c>
      <c r="C103" s="22">
        <v>2020</v>
      </c>
      <c r="D103" s="22">
        <f>'Profit and loss'!AU103/Balance!DQ103</f>
        <v>0.42191768717578876</v>
      </c>
      <c r="E103" s="22">
        <f>(Balance!DS103-Balance!DU103+Balance!EQ103-Balance!ES103)/Balance!DQ103</f>
        <v>2.2975346700428751</v>
      </c>
      <c r="F103" s="22">
        <f>Balance!CY103/Balance!EQ103</f>
        <v>1.1738497654711411</v>
      </c>
      <c r="G103" s="22">
        <f>LN(Balance!DA103)</f>
        <v>17.971064324042604</v>
      </c>
      <c r="H103" s="22">
        <f>(Balance!GC103-Balance!FC103-Balance!ES103-Balance!EC103-Balance!DU103)/Balance!DA103</f>
        <v>0.64242181646315122</v>
      </c>
      <c r="I103" s="22">
        <f>'Profit and loss'!Z103/'Profit and loss'!P103</f>
        <v>0.10112938919325529</v>
      </c>
      <c r="J103" s="22">
        <f>'Profit and loss'!P103/Balance!AY103</f>
        <v>2.6229960441523659</v>
      </c>
      <c r="K103" s="22">
        <f>LN(Balance!DQ103)</f>
        <v>16.696717502518702</v>
      </c>
      <c r="L103" s="22">
        <f>Balance!AW103/Balance!DA103</f>
        <v>0.16007122925044709</v>
      </c>
      <c r="M103" s="22">
        <f>'Profit and loss'!P103/Balance!DA103</f>
        <v>1.4499033804201522</v>
      </c>
      <c r="N103" s="22">
        <f>'Profit and loss'!AI103/(Balance!EK103+Balance!FU103)*100</f>
        <v>101.21714285714285</v>
      </c>
      <c r="O103" s="22">
        <f>(Balance!DS103-Balance!DU103+Balance!EQ103-Balance!ES103)/'Profit and loss'!Z103</f>
        <v>4.3813085033440107</v>
      </c>
    </row>
    <row r="104" spans="1:15" s="22" customFormat="1" x14ac:dyDescent="0.25">
      <c r="A104" s="22">
        <v>26</v>
      </c>
      <c r="B104" s="2" t="s">
        <v>141</v>
      </c>
      <c r="C104" s="22">
        <v>2019</v>
      </c>
      <c r="D104" s="22">
        <f>'Profit and loss'!AU104/Balance!DQ104</f>
        <v>0.53147296411305289</v>
      </c>
      <c r="E104" s="22">
        <f>(Balance!DS104-Balance!DU104+Balance!EQ104-Balance!ES104)/Balance!DQ104</f>
        <v>3.9658744642819959</v>
      </c>
      <c r="F104" s="22">
        <f>Balance!CY104/Balance!EQ104</f>
        <v>1.0684368322394218</v>
      </c>
      <c r="G104" s="22">
        <f>LN(Balance!DA104)</f>
        <v>17.94665722175268</v>
      </c>
      <c r="H104" s="22">
        <f>(Balance!GC104-Balance!FC104-Balance!ES104-Balance!EC104-Balance!DU104)/Balance!DA104</f>
        <v>0.74346656099258757</v>
      </c>
      <c r="I104" s="22">
        <f>'Profit and loss'!Z104/'Profit and loss'!P104</f>
        <v>9.3292860571071445E-2</v>
      </c>
      <c r="J104" s="22">
        <f>'Profit and loss'!P104/Balance!AY104</f>
        <v>2.7193035348857979</v>
      </c>
      <c r="K104" s="22">
        <f>LN(Balance!DQ104)</f>
        <v>16.272499355914878</v>
      </c>
      <c r="L104" s="22">
        <f>Balance!AW104/Balance!DA104</f>
        <v>0.15935588375900558</v>
      </c>
      <c r="M104" s="22">
        <f>'Profit and loss'!P104/Balance!DA104</f>
        <v>1.4887938990954446</v>
      </c>
      <c r="N104" s="22">
        <f>'Profit and loss'!AI104/(Balance!EK104+Balance!FU104)*100</f>
        <v>25.402347036446542</v>
      </c>
      <c r="O104" s="22">
        <f>(Balance!DS104-Balance!DU104+Balance!EQ104-Balance!ES104)/'Profit and loss'!Z104</f>
        <v>5.3527683601704776</v>
      </c>
    </row>
    <row r="105" spans="1:15" s="22" customFormat="1" x14ac:dyDescent="0.25">
      <c r="A105" s="22">
        <v>26</v>
      </c>
      <c r="B105" s="20" t="s">
        <v>141</v>
      </c>
      <c r="C105" s="22">
        <v>2018</v>
      </c>
      <c r="D105" s="22">
        <f>'Profit and loss'!AU105/Balance!DQ105</f>
        <v>0.6166594188130744</v>
      </c>
      <c r="E105" s="22">
        <f>(Balance!DS105-Balance!DU105+Balance!EQ105-Balance!ES105)/Balance!DQ105</f>
        <v>5.0947977527909583</v>
      </c>
      <c r="F105" s="22">
        <f>Balance!CY105/Balance!EQ105</f>
        <v>1.0253607966073088</v>
      </c>
      <c r="G105" s="22">
        <f>LN(Balance!DA105)</f>
        <v>17.654733360351166</v>
      </c>
      <c r="H105" s="22">
        <f>(Balance!GC105-Balance!FC105-Balance!ES105-Balance!EC105-Balance!DU105)/Balance!DA105</f>
        <v>0.68293960534470177</v>
      </c>
      <c r="I105" s="22">
        <f>'Profit and loss'!Z105/'Profit and loss'!P105</f>
        <v>0.11414632165233796</v>
      </c>
      <c r="J105" s="22">
        <f>'Profit and loss'!P105/Balance!AY105</f>
        <v>2.6454817282977721</v>
      </c>
      <c r="K105" s="22">
        <f>LN(Balance!DQ105)</f>
        <v>15.645164540818824</v>
      </c>
      <c r="L105" s="22">
        <f>Balance!AW105/Balance!DA105</f>
        <v>0.17695458671816924</v>
      </c>
      <c r="M105" s="22">
        <f>'Profit and loss'!P105/Balance!DA105</f>
        <v>0.99361380328806204</v>
      </c>
      <c r="N105" s="22">
        <f>'Profit and loss'!AI105/(Balance!EK105+Balance!FU105)*100</f>
        <v>10.347359009615111</v>
      </c>
      <c r="O105" s="22">
        <f>(Balance!DS105-Balance!DU105+Balance!EQ105-Balance!ES105)/'Profit and loss'!Z105</f>
        <v>6.0214732612171717</v>
      </c>
    </row>
    <row r="106" spans="1:15" x14ac:dyDescent="0.25">
      <c r="A106" s="9">
        <v>27</v>
      </c>
      <c r="B106" s="1" t="s">
        <v>142</v>
      </c>
      <c r="C106" s="9">
        <v>2021</v>
      </c>
      <c r="D106" s="9">
        <f>'Profit and loss'!AU106/Balance!DQ106</f>
        <v>-7.9043596692151705E-2</v>
      </c>
      <c r="E106" s="22">
        <f>(Balance!DS106-Balance!DU106+Balance!EQ106-Balance!ES106)/Balance!DQ106</f>
        <v>0.15023136860848335</v>
      </c>
      <c r="F106" s="9">
        <f>Balance!CY106/Balance!EQ106</f>
        <v>2.4923611861703807</v>
      </c>
      <c r="G106" s="9">
        <f>LN(Balance!DA106)</f>
        <v>17.738701141416392</v>
      </c>
      <c r="H106" s="9">
        <f>(Balance!GC106-Balance!FC106-Balance!ES106-Balance!EC106-Balance!DU106)/Balance!DA106</f>
        <v>0.10059965831624605</v>
      </c>
      <c r="I106" s="9">
        <f>'Profit and loss'!Z106/'Profit and loss'!P106</f>
        <v>0</v>
      </c>
      <c r="J106" s="9">
        <f>'Profit and loss'!P106/Balance!AY106</f>
        <v>0.93958689188411637</v>
      </c>
      <c r="K106" s="9">
        <f>LN(Balance!DQ106)</f>
        <v>17.337673439496889</v>
      </c>
      <c r="L106" s="9">
        <f>Balance!AW106/Balance!DA106</f>
        <v>0.17660240014188297</v>
      </c>
      <c r="M106" s="22">
        <f>'Profit and loss'!P106/Balance!DA106</f>
        <v>0.51062309634128267</v>
      </c>
      <c r="N106" s="9" t="e">
        <f>'Profit and loss'!AI106/(Balance!EK106+Balance!FU106)*100</f>
        <v>#DIV/0!</v>
      </c>
      <c r="O106" s="9" t="e">
        <f>(Balance!DS106-Balance!DU106+Balance!EQ106-Balance!ES106)/'Profit and loss'!Z106</f>
        <v>#DIV/0!</v>
      </c>
    </row>
    <row r="107" spans="1:15" x14ac:dyDescent="0.25">
      <c r="A107" s="9">
        <v>27</v>
      </c>
      <c r="B107" s="1" t="s">
        <v>142</v>
      </c>
      <c r="C107" s="9">
        <v>2020</v>
      </c>
      <c r="D107" s="9">
        <f>'Profit and loss'!AU107/Balance!DQ107</f>
        <v>6.2990708566207304E-3</v>
      </c>
      <c r="E107" s="22">
        <f>(Balance!DS107-Balance!DU107+Balance!EQ107-Balance!ES107)/Balance!DQ107</f>
        <v>8.1480322990119924E-2</v>
      </c>
      <c r="F107" s="9">
        <f>Balance!CY107/Balance!EQ107</f>
        <v>2.7552108126275847</v>
      </c>
      <c r="G107" s="9">
        <f>LN(Balance!DA107)</f>
        <v>17.740031455562768</v>
      </c>
      <c r="H107" s="9">
        <f>(Balance!GC107-Balance!FC107-Balance!ES107-Balance!EC107-Balance!DU107)/Balance!DA107</f>
        <v>5.9074089709511904E-2</v>
      </c>
      <c r="I107" s="9">
        <f>'Profit and loss'!Z107/'Profit and loss'!P107</f>
        <v>3.6939725352012301E-2</v>
      </c>
      <c r="J107" s="9">
        <f>'Profit and loss'!P107/Balance!AY107</f>
        <v>1.3208461350195342</v>
      </c>
      <c r="K107" s="9">
        <f>LN(Balance!DQ107)</f>
        <v>17.418462314059997</v>
      </c>
      <c r="L107" s="9">
        <f>Balance!AW107/Balance!DA107</f>
        <v>0.24234595618290644</v>
      </c>
      <c r="M107" s="22">
        <f>'Profit and loss'!P107/Balance!DA107</f>
        <v>0.59360673263828534</v>
      </c>
      <c r="N107" s="9">
        <f>'Profit and loss'!AI107/(Balance!EK107+Balance!FU107)*100</f>
        <v>43.060904833836858</v>
      </c>
      <c r="O107" s="9">
        <f>(Balance!DS107-Balance!DU107+Balance!EQ107-Balance!ES107)/'Profit and loss'!Z107</f>
        <v>2.6940432155577332</v>
      </c>
    </row>
    <row r="108" spans="1:15" x14ac:dyDescent="0.25">
      <c r="A108" s="9">
        <v>27</v>
      </c>
      <c r="B108" s="1" t="s">
        <v>142</v>
      </c>
      <c r="C108" s="9">
        <v>2019</v>
      </c>
      <c r="D108" s="9">
        <f>'Profit and loss'!AU108/Balance!DQ108</f>
        <v>7.1836783329961105E-3</v>
      </c>
      <c r="E108" s="22">
        <f>(Balance!DS108-Balance!DU108+Balance!EQ108-Balance!ES108)/Balance!DQ108</f>
        <v>0.16566901843277615</v>
      </c>
      <c r="F108" s="9">
        <f>Balance!CY108/Balance!EQ108</f>
        <v>2.3025840177933627</v>
      </c>
      <c r="G108" s="9">
        <f>LN(Balance!DA108)</f>
        <v>17.426713896627373</v>
      </c>
      <c r="H108" s="9">
        <f>(Balance!GC108-Balance!FC108-Balance!ES108-Balance!EC108-Balance!DU108)/Balance!DA108</f>
        <v>0.11618304981779461</v>
      </c>
      <c r="I108" s="9">
        <f>'Profit and loss'!Z108/'Profit and loss'!P108</f>
        <v>1.826490379793164E-2</v>
      </c>
      <c r="J108" s="9">
        <f>'Profit and loss'!P108/Balance!AY108</f>
        <v>1.3550478875585756</v>
      </c>
      <c r="K108" s="9">
        <f>LN(Balance!DQ108)</f>
        <v>17.071888926546883</v>
      </c>
      <c r="L108" s="9">
        <f>Balance!AW108/Balance!DA108</f>
        <v>0.31220935866100796</v>
      </c>
      <c r="M108" s="22">
        <f>'Profit and loss'!P108/Balance!DA108</f>
        <v>0.8455810201340126</v>
      </c>
      <c r="N108" s="9">
        <f>'Profit and loss'!AI108/(Balance!EK108+Balance!FU108)*100</f>
        <v>11.217666666666666</v>
      </c>
      <c r="O108" s="9">
        <f>(Balance!DS108-Balance!DU108+Balance!EQ108-Balance!ES108)/'Profit and loss'!Z108</f>
        <v>7.5226378917020051</v>
      </c>
    </row>
    <row r="109" spans="1:15" x14ac:dyDescent="0.25">
      <c r="A109" s="9">
        <v>27</v>
      </c>
      <c r="B109" s="8" t="s">
        <v>142</v>
      </c>
      <c r="C109" s="9">
        <v>2018</v>
      </c>
      <c r="D109" s="9">
        <f>'Profit and loss'!AU109/Balance!DQ109</f>
        <v>0.14004087655291245</v>
      </c>
      <c r="E109" s="22">
        <f>(Balance!DS109-Balance!DU109+Balance!EQ109-Balance!ES109)/Balance!DQ109</f>
        <v>0.14923533410081008</v>
      </c>
      <c r="F109" s="9">
        <f>Balance!CY109/Balance!EQ109</f>
        <v>2.0442886904535285</v>
      </c>
      <c r="G109" s="9">
        <f>LN(Balance!DA109)</f>
        <v>17.608985322015801</v>
      </c>
      <c r="H109" s="9">
        <f>(Balance!GC109-Balance!FC109-Balance!ES109-Balance!EC109-Balance!DU109)/Balance!DA109</f>
        <v>9.7949923172032036E-2</v>
      </c>
      <c r="I109" s="9">
        <f>'Profit and loss'!Z109/'Profit and loss'!P109</f>
        <v>8.0913844333577151E-2</v>
      </c>
      <c r="J109" s="9">
        <f>'Profit and loss'!P109/Balance!AY109</f>
        <v>10.491850514251308</v>
      </c>
      <c r="K109" s="9">
        <f>LN(Balance!DQ109)</f>
        <v>17.187917198583687</v>
      </c>
      <c r="L109" s="9">
        <f>Balance!AW109/Balance!DA109</f>
        <v>0.29747076201041844</v>
      </c>
      <c r="M109" s="22">
        <f>'Profit and loss'!P109/Balance!DA109</f>
        <v>1.7496132995015019</v>
      </c>
      <c r="N109" s="9">
        <f>'Profit and loss'!AI109/(Balance!EK109+Balance!FU109)*100</f>
        <v>13.037853333333333</v>
      </c>
      <c r="O109" s="9">
        <f>(Balance!DS109-Balance!DU109+Balance!EQ109-Balance!ES109)/'Profit and loss'!Z109</f>
        <v>0.69189340782411524</v>
      </c>
    </row>
    <row r="110" spans="1:15" x14ac:dyDescent="0.25">
      <c r="A110" s="9">
        <v>28</v>
      </c>
      <c r="B110" s="1" t="s">
        <v>143</v>
      </c>
      <c r="C110" s="9">
        <v>2021</v>
      </c>
      <c r="D110" s="9">
        <f>'Profit and loss'!AU110/Balance!DQ110</f>
        <v>3.8882388936802644E-3</v>
      </c>
      <c r="E110" s="22">
        <f>(Balance!DS110-Balance!DU110+Balance!EQ110-Balance!ES110)/Balance!DQ110</f>
        <v>7.6342873486311734E-3</v>
      </c>
      <c r="F110" s="9">
        <f>Balance!CY110/Balance!EQ110</f>
        <v>3.10480847536809</v>
      </c>
      <c r="G110" s="9">
        <f>LN(Balance!DA110)</f>
        <v>15.669096074459073</v>
      </c>
      <c r="H110" s="9">
        <f>(Balance!GC110-Balance!FC110-Balance!ES110-Balance!EC110-Balance!DU110)/Balance!DA110</f>
        <v>5.4168685174762529E-3</v>
      </c>
      <c r="I110" s="9">
        <f>'Profit and loss'!Z110/'Profit and loss'!P110</f>
        <v>0</v>
      </c>
      <c r="J110" s="9">
        <f>'Profit and loss'!P110/Balance!AY110</f>
        <v>3.1383385711191045</v>
      </c>
      <c r="K110" s="9">
        <f>LN(Balance!DQ110)</f>
        <v>15.325964364384514</v>
      </c>
      <c r="L110" s="9">
        <f>Balance!AW110/Balance!DA110</f>
        <v>0.11501042599974431</v>
      </c>
      <c r="M110" s="22">
        <f>'Profit and loss'!P110/Balance!DA110</f>
        <v>0.55843597173768678</v>
      </c>
      <c r="N110" s="9">
        <f>'Profit and loss'!AI110/(Balance!EK110+Balance!FU110)*100</f>
        <v>0</v>
      </c>
      <c r="O110" s="9" t="e">
        <f>(Balance!DS110-Balance!DU110+Balance!EQ110-Balance!ES110)/'Profit and loss'!Z110</f>
        <v>#DIV/0!</v>
      </c>
    </row>
    <row r="111" spans="1:15" x14ac:dyDescent="0.25">
      <c r="A111" s="9">
        <v>28</v>
      </c>
      <c r="B111" s="1" t="s">
        <v>143</v>
      </c>
      <c r="C111" s="9">
        <v>2020</v>
      </c>
      <c r="D111" s="9">
        <f>'Profit and loss'!AU111/Balance!DQ111</f>
        <v>2.8256825482327924E-3</v>
      </c>
      <c r="E111" s="22">
        <f>(Balance!DS111-Balance!DU111+Balance!EQ111-Balance!ES111)/Balance!DQ111</f>
        <v>2.5345367992724202E-2</v>
      </c>
      <c r="F111" s="9">
        <f>Balance!CY111/Balance!EQ111</f>
        <v>1.5639591843487259</v>
      </c>
      <c r="G111" s="9">
        <f>LN(Balance!DA111)</f>
        <v>15.409020269449753</v>
      </c>
      <c r="H111" s="9">
        <f>(Balance!GC111-Balance!FC111-Balance!ES111-Balance!EC111-Balance!DU111)/Balance!DA111</f>
        <v>1.1331923255254103E-2</v>
      </c>
      <c r="I111" s="9">
        <f>'Profit and loss'!Z111/'Profit and loss'!P111</f>
        <v>8.9266450836458927E-3</v>
      </c>
      <c r="J111" s="9">
        <f>'Profit and loss'!P111/Balance!AY111</f>
        <v>3.834589391394756</v>
      </c>
      <c r="K111" s="9">
        <f>LN(Balance!DQ111)</f>
        <v>14.604048087842155</v>
      </c>
      <c r="L111" s="9">
        <f>Balance!AW111/Balance!DA111</f>
        <v>0.15301020806197912</v>
      </c>
      <c r="M111" s="22">
        <f>'Profit and loss'!P111/Balance!DA111</f>
        <v>0.68097904309663582</v>
      </c>
      <c r="N111" s="9">
        <f>'Profit and loss'!AI111/(Balance!EK111+Balance!FU111)*100</f>
        <v>40.527735675956009</v>
      </c>
      <c r="O111" s="9">
        <f>(Balance!DS111-Balance!DU111+Balance!EQ111-Balance!ES111)/'Profit and loss'!Z111</f>
        <v>1.8641532392859461</v>
      </c>
    </row>
    <row r="112" spans="1:15" x14ac:dyDescent="0.25">
      <c r="A112" s="9">
        <v>28</v>
      </c>
      <c r="B112" s="1" t="s">
        <v>143</v>
      </c>
      <c r="C112" s="9">
        <v>2019</v>
      </c>
      <c r="D112" s="9">
        <f>'Profit and loss'!AU112/Balance!DQ112</f>
        <v>7.4276667367834271E-3</v>
      </c>
      <c r="E112" s="22">
        <f>(Balance!DS112-Balance!DU112+Balance!EQ112-Balance!ES112)/Balance!DQ112</f>
        <v>0.12154417618009813</v>
      </c>
      <c r="F112" s="9">
        <f>Balance!CY112/Balance!EQ112</f>
        <v>1.7121422054214235</v>
      </c>
      <c r="G112" s="9">
        <f>LN(Balance!DA112)</f>
        <v>15.376465986190608</v>
      </c>
      <c r="H112" s="9">
        <f>(Balance!GC112-Balance!FC112-Balance!ES112-Balance!EC112-Balance!DU112)/Balance!DA112</f>
        <v>5.5982002809426862E-2</v>
      </c>
      <c r="I112" s="9">
        <f>'Profit and loss'!Z112/'Profit and loss'!P112</f>
        <v>2.0588214530735676E-3</v>
      </c>
      <c r="J112" s="9">
        <f>'Profit and loss'!P112/Balance!AY112</f>
        <v>5.3809464367723576</v>
      </c>
      <c r="K112" s="9">
        <f>LN(Balance!DQ112)</f>
        <v>14.601218460212113</v>
      </c>
      <c r="L112" s="9">
        <f>Balance!AW112/Balance!DA112</f>
        <v>0.17230210283910899</v>
      </c>
      <c r="M112" s="22">
        <f>'Profit and loss'!P112/Balance!DA112</f>
        <v>0.98134700273648479</v>
      </c>
      <c r="N112" s="9">
        <f>'Profit and loss'!AI112/(Balance!EK112+Balance!FU112)*100</f>
        <v>0</v>
      </c>
      <c r="O112" s="9">
        <f>(Balance!DS112-Balance!DU112+Balance!EQ112-Balance!ES112)/'Profit and loss'!Z112</f>
        <v>27.708125519534498</v>
      </c>
    </row>
    <row r="113" spans="1:15" x14ac:dyDescent="0.25">
      <c r="A113" s="9">
        <v>28</v>
      </c>
      <c r="B113" s="8" t="s">
        <v>143</v>
      </c>
      <c r="C113" s="9">
        <v>2018</v>
      </c>
      <c r="D113" s="9">
        <f>'Profit and loss'!AU113/Balance!DQ113</f>
        <v>7.2779859211543436E-3</v>
      </c>
      <c r="E113" s="22">
        <f>(Balance!DS113-Balance!DU113+Balance!EQ113-Balance!ES113)/Balance!DQ113</f>
        <v>0.45909613255983683</v>
      </c>
      <c r="F113" s="9">
        <f>Balance!CY113/Balance!EQ113</f>
        <v>2.7188711594869113</v>
      </c>
      <c r="G113" s="9">
        <f>LN(Balance!DA113)</f>
        <v>15.321263547927664</v>
      </c>
      <c r="H113" s="9">
        <f>(Balance!GC113-Balance!FC113-Balance!ES113-Balance!EC113-Balance!DU113)/Balance!DA113</f>
        <v>0.22179618606662446</v>
      </c>
      <c r="I113" s="9">
        <f>'Profit and loss'!Z113/'Profit and loss'!P113</f>
        <v>7.451768784916607E-2</v>
      </c>
      <c r="J113" s="9">
        <f>'Profit and loss'!P113/Balance!AY113</f>
        <v>2.9597003803613839</v>
      </c>
      <c r="K113" s="9">
        <f>LN(Balance!DQ113)</f>
        <v>14.593762800065274</v>
      </c>
      <c r="L113" s="9">
        <f>Balance!AW113/Balance!DA113</f>
        <v>0.1976912854868858</v>
      </c>
      <c r="M113" s="22">
        <f>'Profit and loss'!P113/Balance!DA113</f>
        <v>0.91525267884702388</v>
      </c>
      <c r="N113" s="9">
        <f>'Profit and loss'!AI113/(Balance!EK113+Balance!FU113)*100</f>
        <v>8.4150480543954789</v>
      </c>
      <c r="O113" s="9">
        <f>(Balance!DS113-Balance!DU113+Balance!EQ113-Balance!ES113)/'Profit and loss'!Z113</f>
        <v>3.2520236414616854</v>
      </c>
    </row>
    <row r="114" spans="1:15" x14ac:dyDescent="0.25">
      <c r="A114" s="9">
        <v>29</v>
      </c>
      <c r="B114" s="1" t="s">
        <v>144</v>
      </c>
      <c r="C114" s="9">
        <v>2021</v>
      </c>
      <c r="D114" s="9">
        <f>'Profit and loss'!AU114/Balance!DQ114</f>
        <v>6.5159073154089725E-2</v>
      </c>
      <c r="E114" s="22">
        <f>(Balance!DS114-Balance!DU114+Balance!EQ114-Balance!ES114)/Balance!DQ114</f>
        <v>0</v>
      </c>
      <c r="F114" s="9">
        <f>Balance!CY114/Balance!EQ114</f>
        <v>6.9602127290530591</v>
      </c>
      <c r="G114" s="9">
        <f>LN(Balance!DA114)</f>
        <v>16.873090610854803</v>
      </c>
      <c r="H114" s="9">
        <f>(Balance!GC114-Balance!FC114-Balance!ES114-Balance!EC114-Balance!DU114)/Balance!DA114</f>
        <v>0</v>
      </c>
      <c r="I114" s="9">
        <f>'Profit and loss'!Z114/'Profit and loss'!P114</f>
        <v>5.5924879421903627E-2</v>
      </c>
      <c r="J114" s="9">
        <f>'Profit and loss'!P114/Balance!AY114</f>
        <v>2.58157672831861</v>
      </c>
      <c r="K114" s="9">
        <f>LN(Balance!DQ114)</f>
        <v>16.747054062543608</v>
      </c>
      <c r="L114" s="9">
        <f>Balance!AW114/Balance!DA114</f>
        <v>0.17578988501978379</v>
      </c>
      <c r="M114" s="22">
        <f>'Profit and loss'!P114/Balance!DA114</f>
        <v>1.1333132136442137</v>
      </c>
      <c r="N114" s="9" t="e">
        <f>'Profit and loss'!AI114/(Balance!EK114+Balance!FU114)*100</f>
        <v>#DIV/0!</v>
      </c>
      <c r="O114" s="9">
        <f>(Balance!DS114-Balance!DU114+Balance!EQ114-Balance!ES114)/'Profit and loss'!Z114</f>
        <v>0</v>
      </c>
    </row>
    <row r="115" spans="1:15" x14ac:dyDescent="0.25">
      <c r="A115" s="9">
        <v>29</v>
      </c>
      <c r="B115" s="1" t="s">
        <v>144</v>
      </c>
      <c r="C115" s="9">
        <v>2020</v>
      </c>
      <c r="D115" s="9">
        <f>'Profit and loss'!AU115/Balance!DQ115</f>
        <v>6.3965842560567199E-2</v>
      </c>
      <c r="E115" s="22">
        <f>(Balance!DS115-Balance!DU115+Balance!EQ115-Balance!ES115)/Balance!DQ115</f>
        <v>0</v>
      </c>
      <c r="F115" s="9">
        <f>Balance!CY115/Balance!EQ115</f>
        <v>6.7598478629363274</v>
      </c>
      <c r="G115" s="9">
        <f>LN(Balance!DA115)</f>
        <v>16.846944523635145</v>
      </c>
      <c r="H115" s="9">
        <f>(Balance!GC115-Balance!FC115-Balance!ES115-Balance!EC115-Balance!DU115)/Balance!DA115</f>
        <v>0</v>
      </c>
      <c r="I115" s="9">
        <f>'Profit and loss'!Z115/'Profit and loss'!P115</f>
        <v>4.9816524165825833E-2</v>
      </c>
      <c r="J115" s="9">
        <f>'Profit and loss'!P115/Balance!AY115</f>
        <v>2.4975653427577544</v>
      </c>
      <c r="K115" s="9">
        <f>LN(Balance!DQ115)</f>
        <v>16.719500334956862</v>
      </c>
      <c r="L115" s="9">
        <f>Balance!AW115/Balance!DA115</f>
        <v>0.1911338257329244</v>
      </c>
      <c r="M115" s="22">
        <f>'Profit and loss'!P115/Balance!DA115</f>
        <v>1.0584578046351576</v>
      </c>
      <c r="N115" s="9" t="e">
        <f>'Profit and loss'!AI115/(Balance!EK115+Balance!FU115)*100</f>
        <v>#DIV/0!</v>
      </c>
      <c r="O115" s="9">
        <f>(Balance!DS115-Balance!DU115+Balance!EQ115-Balance!ES115)/'Profit and loss'!Z115</f>
        <v>0</v>
      </c>
    </row>
    <row r="116" spans="1:15" x14ac:dyDescent="0.25">
      <c r="A116" s="9">
        <v>29</v>
      </c>
      <c r="B116" s="1" t="s">
        <v>144</v>
      </c>
      <c r="C116" s="9">
        <v>2019</v>
      </c>
      <c r="D116" s="9">
        <f>'Profit and loss'!AU116/Balance!DQ116</f>
        <v>5.3757456312051033E-2</v>
      </c>
      <c r="E116" s="22">
        <f>(Balance!DS116-Balance!DU116+Balance!EQ116-Balance!ES116)/Balance!DQ116</f>
        <v>8.4987552594741042E-2</v>
      </c>
      <c r="F116" s="9">
        <f>Balance!CY116/Balance!EQ116</f>
        <v>6.5238305777432251</v>
      </c>
      <c r="G116" s="9">
        <f>LN(Balance!DA116)</f>
        <v>16.801513454253055</v>
      </c>
      <c r="H116" s="9">
        <f>(Balance!GC116-Balance!FC116-Balance!ES116-Balance!EC116-Balance!DU116)/Balance!DA116</f>
        <v>7.4544908715161937E-2</v>
      </c>
      <c r="I116" s="9">
        <f>'Profit and loss'!Z116/'Profit and loss'!P116</f>
        <v>6.6724343644925868E-2</v>
      </c>
      <c r="J116" s="9">
        <f>'Profit and loss'!P116/Balance!AY116</f>
        <v>1.5173848927899447</v>
      </c>
      <c r="K116" s="9">
        <f>LN(Balance!DQ116)</f>
        <v>16.670410393867442</v>
      </c>
      <c r="L116" s="9">
        <f>Balance!AW116/Balance!DA116</f>
        <v>0.19839979650976686</v>
      </c>
      <c r="M116" s="22">
        <f>'Profit and loss'!P116/Balance!DA116</f>
        <v>0.87928253940300782</v>
      </c>
      <c r="N116" s="9" t="e">
        <f>'Profit and loss'!AI116/(Balance!EK116+Balance!FU116)*100</f>
        <v>#DIV/0!</v>
      </c>
      <c r="O116" s="9">
        <f>(Balance!DS116-Balance!DU116+Balance!EQ116-Balance!ES116)/'Profit and loss'!Z116</f>
        <v>1.2705893995852087</v>
      </c>
    </row>
    <row r="117" spans="1:15" x14ac:dyDescent="0.25">
      <c r="A117" s="9">
        <v>29</v>
      </c>
      <c r="B117" s="8" t="s">
        <v>144</v>
      </c>
      <c r="C117" s="9">
        <v>2018</v>
      </c>
      <c r="D117" s="9">
        <f>'Profit and loss'!AU117/Balance!DQ117</f>
        <v>1.9103522096003023E-2</v>
      </c>
      <c r="E117" s="22">
        <f>(Balance!DS117-Balance!DU117+Balance!EQ117-Balance!ES117)/Balance!DQ117</f>
        <v>0.18457683667661656</v>
      </c>
      <c r="F117" s="9">
        <f>Balance!CY117/Balance!EQ117</f>
        <v>3.7320364997586912</v>
      </c>
      <c r="G117" s="9">
        <f>LN(Balance!DA117)</f>
        <v>16.842997667314012</v>
      </c>
      <c r="H117" s="9">
        <f>(Balance!GC117-Balance!FC117-Balance!ES117-Balance!EC117-Balance!DU117)/Balance!DA117</f>
        <v>0.14465591373682943</v>
      </c>
      <c r="I117" s="9">
        <f>'Profit and loss'!Z117/'Profit and loss'!P117</f>
        <v>7.1618786794553566E-2</v>
      </c>
      <c r="J117" s="9">
        <f>'Profit and loss'!P117/Balance!AY117</f>
        <v>1.0782145503350982</v>
      </c>
      <c r="K117" s="9">
        <f>LN(Balance!DQ117)</f>
        <v>16.599289745238202</v>
      </c>
      <c r="L117" s="9">
        <f>Balance!AW117/Balance!DA117</f>
        <v>0.19282211030429799</v>
      </c>
      <c r="M117" s="22">
        <f>'Profit and loss'!P117/Balance!DA117</f>
        <v>0.74792582210526681</v>
      </c>
      <c r="N117" s="9" t="e">
        <f>'Profit and loss'!AI117/(Balance!EK117+Balance!FU117)*100</f>
        <v>#DIV/0!</v>
      </c>
      <c r="O117" s="9">
        <f>(Balance!DS117-Balance!DU117+Balance!EQ117-Balance!ES117)/'Profit and loss'!Z117</f>
        <v>2.7005405669351719</v>
      </c>
    </row>
    <row r="118" spans="1:15" s="22" customFormat="1" x14ac:dyDescent="0.25">
      <c r="A118" s="22">
        <v>30</v>
      </c>
      <c r="B118" s="2" t="s">
        <v>145</v>
      </c>
      <c r="C118" s="22">
        <v>2021</v>
      </c>
      <c r="D118" s="22">
        <f>'Profit and loss'!AU118/Balance!DQ118</f>
        <v>8.6086237788604875E-3</v>
      </c>
      <c r="E118" s="22">
        <f>(Balance!DS118-Balance!DU118+Balance!EQ118-Balance!ES118)/Balance!DQ118</f>
        <v>2.7245797151919482</v>
      </c>
      <c r="F118" s="22">
        <f>Balance!CY118/Balance!EQ118</f>
        <v>1.1741038005357156</v>
      </c>
      <c r="G118" s="22">
        <f>LN(Balance!DA118)</f>
        <v>17.410579152731021</v>
      </c>
      <c r="H118" s="22">
        <f>(Balance!GC118-Balance!FC118-Balance!ES118-Balance!EC118-Balance!DU118)/Balance!DA118</f>
        <v>0.69605234174409181</v>
      </c>
      <c r="I118" s="22">
        <f>'Profit and loss'!Z118/'Profit and loss'!P118</f>
        <v>7.8786497508957221E-3</v>
      </c>
      <c r="J118" s="22">
        <f>'Profit and loss'!P118/Balance!AY118</f>
        <v>2.8887699623164411</v>
      </c>
      <c r="K118" s="22">
        <f>LN(Balance!DQ118)</f>
        <v>16.045934551647957</v>
      </c>
      <c r="L118" s="22">
        <f>Balance!AW118/Balance!DA118</f>
        <v>0.12584620469140181</v>
      </c>
      <c r="M118" s="22">
        <f>'Profit and loss'!P118/Balance!DA118</f>
        <v>1.5904610931051559</v>
      </c>
      <c r="N118" s="22" t="e">
        <f>'Profit and loss'!AI118/(Balance!EK118+Balance!FU118)*100</f>
        <v>#DIV/0!</v>
      </c>
      <c r="O118" s="22">
        <f>(Balance!DS118-Balance!DU118+Balance!EQ118-Balance!ES118)/'Profit and loss'!Z118</f>
        <v>55.547824562556841</v>
      </c>
    </row>
    <row r="119" spans="1:15" s="22" customFormat="1" x14ac:dyDescent="0.25">
      <c r="A119" s="22">
        <v>30</v>
      </c>
      <c r="B119" s="2" t="s">
        <v>145</v>
      </c>
      <c r="C119" s="22">
        <v>2020</v>
      </c>
      <c r="D119" s="22">
        <f>'Profit and loss'!AU119/Balance!DQ119</f>
        <v>0.25177438098558513</v>
      </c>
      <c r="E119" s="22">
        <f>(Balance!DS119-Balance!DU119+Balance!EQ119-Balance!ES119)/Balance!DQ119</f>
        <v>3.4997109996026983</v>
      </c>
      <c r="F119" s="22">
        <f>Balance!CY119/Balance!EQ119</f>
        <v>1.1038905907733161</v>
      </c>
      <c r="G119" s="22">
        <f>LN(Balance!DA119)</f>
        <v>17.787304248944338</v>
      </c>
      <c r="H119" s="22">
        <f>(Balance!GC119-Balance!FC119-Balance!ES119-Balance!EC119-Balance!DU119)/Balance!DA119</f>
        <v>0.61518549084739704</v>
      </c>
      <c r="I119" s="22">
        <f>'Profit and loss'!Z119/'Profit and loss'!P119</f>
        <v>3.6721150891964031E-2</v>
      </c>
      <c r="J119" s="22">
        <f>'Profit and loss'!P119/Balance!AY119</f>
        <v>2.6629545310937615</v>
      </c>
      <c r="K119" s="22">
        <f>LN(Balance!DQ119)</f>
        <v>16.048792409883138</v>
      </c>
      <c r="L119" s="22">
        <f>Balance!AW119/Balance!DA119</f>
        <v>9.0153281707525831E-2</v>
      </c>
      <c r="M119" s="22">
        <f>'Profit and loss'!P119/Balance!DA119</f>
        <v>1.5133094311428632</v>
      </c>
      <c r="N119" s="22">
        <f>'Profit and loss'!AI119/(Balance!EK119+Balance!FU119)*100</f>
        <v>30.368570303582292</v>
      </c>
      <c r="O119" s="22">
        <f>(Balance!DS119-Balance!DU119+Balance!EQ119-Balance!ES119)/'Profit and loss'!Z119</f>
        <v>11.070368086366535</v>
      </c>
    </row>
    <row r="120" spans="1:15" s="22" customFormat="1" x14ac:dyDescent="0.25">
      <c r="A120" s="22">
        <v>30</v>
      </c>
      <c r="B120" s="2" t="s">
        <v>145</v>
      </c>
      <c r="C120" s="22">
        <v>2019</v>
      </c>
      <c r="D120" s="22">
        <f>'Profit and loss'!AU120/Balance!DQ120</f>
        <v>0.49336917008528763</v>
      </c>
      <c r="E120" s="22">
        <f>(Balance!DS120-Balance!DU120+Balance!EQ120-Balance!ES120)/Balance!DQ120</f>
        <v>7.5424621764378003E-2</v>
      </c>
      <c r="F120" s="22">
        <f>Balance!CY120/Balance!EQ120</f>
        <v>1.0665966241791101</v>
      </c>
      <c r="G120" s="22">
        <f>LN(Balance!DA120)</f>
        <v>17.780328156267224</v>
      </c>
      <c r="H120" s="22">
        <f>(Balance!GC120-Balance!FC120-Balance!ES120-Balance!EC120-Balance!DU120)/Balance!DA120</f>
        <v>1.1382898038032311E-2</v>
      </c>
      <c r="I120" s="22">
        <f>'Profit and loss'!Z120/'Profit and loss'!P120</f>
        <v>9.637549080663449E-2</v>
      </c>
      <c r="J120" s="22">
        <f>'Profit and loss'!P120/Balance!AY120</f>
        <v>1.297638434228221</v>
      </c>
      <c r="K120" s="22">
        <f>LN(Balance!DQ120)</f>
        <v>15.889306442872721</v>
      </c>
      <c r="L120" s="22">
        <f>Balance!AW120/Balance!DA120</f>
        <v>9.4371509790032199E-2</v>
      </c>
      <c r="M120" s="22">
        <f>'Profit and loss'!P120/Balance!DA120</f>
        <v>0.89836050981268412</v>
      </c>
      <c r="N120" s="22">
        <f>'Profit and loss'!AI120/(Balance!EK120+Balance!FU120)*100</f>
        <v>12.5175</v>
      </c>
      <c r="O120" s="22">
        <f>(Balance!DS120-Balance!DU120+Balance!EQ120-Balance!ES120)/'Profit and loss'!Z120</f>
        <v>0.13147270243235457</v>
      </c>
    </row>
    <row r="121" spans="1:15" s="22" customFormat="1" x14ac:dyDescent="0.25">
      <c r="A121" s="22">
        <v>30</v>
      </c>
      <c r="B121" s="20" t="s">
        <v>145</v>
      </c>
      <c r="C121" s="22">
        <v>2018</v>
      </c>
      <c r="D121" s="22">
        <f>'Profit and loss'!AU121/Balance!DQ121</f>
        <v>0.10321489430505307</v>
      </c>
      <c r="E121" s="22">
        <f>(Balance!DS121-Balance!DU121+Balance!EQ121-Balance!ES121)/Balance!DQ121</f>
        <v>4.2012081449936183</v>
      </c>
      <c r="F121" s="22">
        <f>Balance!CY121/Balance!EQ121</f>
        <v>0.94531157133724031</v>
      </c>
      <c r="G121" s="22">
        <f>LN(Balance!DA121)</f>
        <v>17.248984404897527</v>
      </c>
      <c r="H121" s="22">
        <f>(Balance!GC121-Balance!FC121-Balance!ES121-Balance!EC121-Balance!DU121)/Balance!DA121</f>
        <v>0.53503201159046465</v>
      </c>
      <c r="I121" s="22">
        <f>'Profit and loss'!Z121/'Profit and loss'!P121</f>
        <v>1.8325366824015577E-2</v>
      </c>
      <c r="J121" s="22">
        <f>'Profit and loss'!P121/Balance!AY121</f>
        <v>2.9627153878458938</v>
      </c>
      <c r="K121" s="22">
        <f>LN(Balance!DQ121)</f>
        <v>15.188183568275024</v>
      </c>
      <c r="L121" s="22">
        <f>Balance!AW121/Balance!DA121</f>
        <v>0.17507569207293161</v>
      </c>
      <c r="M121" s="22">
        <f>'Profit and loss'!P121/Balance!DA121</f>
        <v>1.3249064277827749</v>
      </c>
      <c r="N121" s="22">
        <f>'Profit and loss'!AI121/(Balance!EK121+Balance!FU121)*100</f>
        <v>7.1377383446811997</v>
      </c>
      <c r="O121" s="22">
        <f>(Balance!DS121-Balance!DU121+Balance!EQ121-Balance!ES121)/'Profit and loss'!Z121</f>
        <v>22.036462729719851</v>
      </c>
    </row>
    <row r="122" spans="1:15" x14ac:dyDescent="0.25">
      <c r="A122" s="9">
        <v>31</v>
      </c>
      <c r="B122" s="1" t="s">
        <v>146</v>
      </c>
      <c r="C122" s="9">
        <v>2021</v>
      </c>
      <c r="D122" s="9">
        <f>'Profit and loss'!AU122/Balance!DQ122</f>
        <v>1.1707444060948992E-2</v>
      </c>
      <c r="E122" s="22">
        <f>(Balance!DS122-Balance!DU122+Balance!EQ122-Balance!ES122)/Balance!DQ122</f>
        <v>4.0402206237346819E-2</v>
      </c>
      <c r="F122" s="9">
        <f>Balance!CY122/Balance!EQ122</f>
        <v>2.4858111965585485</v>
      </c>
      <c r="G122" s="9">
        <f>LN(Balance!DA122)</f>
        <v>17.883077923025226</v>
      </c>
      <c r="H122" s="9">
        <f>(Balance!GC122-Balance!FC122-Balance!ES122-Balance!EC122-Balance!DU122)/Balance!DA122</f>
        <v>3.1313648375559243E-2</v>
      </c>
      <c r="I122" s="9">
        <f>'Profit and loss'!Z122/'Profit and loss'!P122</f>
        <v>0</v>
      </c>
      <c r="J122" s="9">
        <f>'Profit and loss'!P122/Balance!AY122</f>
        <v>0.73461630450245397</v>
      </c>
      <c r="K122" s="9">
        <f>LN(Balance!DQ122)</f>
        <v>17.628247582555009</v>
      </c>
      <c r="L122" s="9">
        <f>Balance!AW122/Balance!DA122</f>
        <v>0.44081175268795408</v>
      </c>
      <c r="M122" s="22">
        <f>'Profit and loss'!P122/Balance!DA122</f>
        <v>0.28288695130923236</v>
      </c>
      <c r="N122" s="9" t="e">
        <f>'Profit and loss'!AI122/(Balance!EK122+Balance!FU122)*100</f>
        <v>#DIV/0!</v>
      </c>
      <c r="O122" s="9" t="e">
        <f>(Balance!DS122-Balance!DU122+Balance!EQ122-Balance!ES122)/'Profit and loss'!Z122</f>
        <v>#DIV/0!</v>
      </c>
    </row>
    <row r="123" spans="1:15" x14ac:dyDescent="0.25">
      <c r="A123" s="9">
        <v>31</v>
      </c>
      <c r="B123" s="1" t="s">
        <v>146</v>
      </c>
      <c r="C123" s="9">
        <v>2020</v>
      </c>
      <c r="D123" s="9">
        <f>'Profit and loss'!AU123/Balance!DQ123</f>
        <v>-2.3860004462070091E-2</v>
      </c>
      <c r="E123" s="22">
        <f>(Balance!DS123-Balance!DU123+Balance!EQ123-Balance!ES123)/Balance!DQ123</f>
        <v>0.30950638869324582</v>
      </c>
      <c r="F123" s="9">
        <f>Balance!CY123/Balance!EQ123</f>
        <v>22.208128143750461</v>
      </c>
      <c r="G123" s="9">
        <f>LN(Balance!DA123)</f>
        <v>17.901908663901462</v>
      </c>
      <c r="H123" s="9">
        <f>(Balance!GC123-Balance!FC123-Balance!ES123-Balance!EC123-Balance!DU123)/Balance!DA123</f>
        <v>9.6713819994798163E-3</v>
      </c>
      <c r="I123" s="9">
        <f>'Profit and loss'!Z123/'Profit and loss'!P123</f>
        <v>0</v>
      </c>
      <c r="J123" s="9">
        <f>'Profit and loss'!P123/Balance!AY123</f>
        <v>0.20077143691339405</v>
      </c>
      <c r="K123" s="9">
        <f>LN(Balance!DQ123)</f>
        <v>17.616313312973581</v>
      </c>
      <c r="L123" s="9">
        <f>Balance!AW123/Balance!DA123</f>
        <v>0.43391438455661951</v>
      </c>
      <c r="M123" s="22">
        <f>'Profit and loss'!P123/Balance!DA123</f>
        <v>7.6394812393601616E-2</v>
      </c>
      <c r="N123" s="9" t="e">
        <f>'Profit and loss'!AI123/(Balance!EK123+Balance!FU123)*100</f>
        <v>#DIV/0!</v>
      </c>
      <c r="O123" s="9" t="e">
        <f>(Balance!DS123-Balance!DU123+Balance!EQ123-Balance!ES123)/'Profit and loss'!Z123</f>
        <v>#DIV/0!</v>
      </c>
    </row>
    <row r="124" spans="1:15" x14ac:dyDescent="0.25">
      <c r="A124" s="9">
        <v>31</v>
      </c>
      <c r="B124" s="1" t="s">
        <v>146</v>
      </c>
      <c r="C124" s="9">
        <v>2019</v>
      </c>
      <c r="D124" s="9">
        <f>'Profit and loss'!AU124/Balance!DQ124</f>
        <v>2.7337439656882661E-4</v>
      </c>
      <c r="E124" s="22">
        <f>(Balance!DS124-Balance!DU124+Balance!EQ124-Balance!ES124)/Balance!DQ124</f>
        <v>0.38859767003926832</v>
      </c>
      <c r="F124" s="9">
        <f>Balance!CY124/Balance!EQ124</f>
        <v>71.340147365007056</v>
      </c>
      <c r="G124" s="9">
        <f>LN(Balance!DA124)</f>
        <v>17.973757251370809</v>
      </c>
      <c r="H124" s="9">
        <f>(Balance!GC124-Balance!FC124-Balance!ES124-Balance!EC124-Balance!DU124)/Balance!DA124</f>
        <v>1.183409120089587E-3</v>
      </c>
      <c r="I124" s="9">
        <f>'Profit and loss'!Z124/'Profit and loss'!P124</f>
        <v>0</v>
      </c>
      <c r="J124" s="9">
        <f>'Profit and loss'!P124/Balance!AY124</f>
        <v>1.4146765698101798</v>
      </c>
      <c r="K124" s="9">
        <f>LN(Balance!DQ124)</f>
        <v>17.638232206398882</v>
      </c>
      <c r="L124" s="9">
        <f>Balance!AW124/Balance!DA124</f>
        <v>0.4015982574163901</v>
      </c>
      <c r="M124" s="22">
        <f>'Profit and loss'!P124/Balance!DA124</f>
        <v>0.42037812680954967</v>
      </c>
      <c r="N124" s="9" t="e">
        <f>'Profit and loss'!AI124/(Balance!EK124+Balance!FU124)*100</f>
        <v>#DIV/0!</v>
      </c>
      <c r="O124" s="9" t="e">
        <f>(Balance!DS124-Balance!DU124+Balance!EQ124-Balance!ES124)/'Profit and loss'!Z124</f>
        <v>#DIV/0!</v>
      </c>
    </row>
    <row r="125" spans="1:15" x14ac:dyDescent="0.25">
      <c r="A125" s="9">
        <v>31</v>
      </c>
      <c r="B125" s="8" t="s">
        <v>146</v>
      </c>
      <c r="C125" s="9">
        <v>2018</v>
      </c>
      <c r="D125" s="9">
        <f>'Profit and loss'!AU125/Balance!DQ125</f>
        <v>0.14160039404158486</v>
      </c>
      <c r="E125" s="22">
        <f>(Balance!DS125-Balance!DU125+Balance!EQ125-Balance!ES125)/Balance!DQ125</f>
        <v>0.36599946713121223</v>
      </c>
      <c r="F125" s="9">
        <f>Balance!CY125/Balance!EQ125</f>
        <v>6.2562956409801371</v>
      </c>
      <c r="G125" s="9">
        <f>LN(Balance!DA125)</f>
        <v>18.123482617135732</v>
      </c>
      <c r="H125" s="9">
        <f>(Balance!GC125-Balance!FC125-Balance!ES125-Balance!EC125-Balance!DU125)/Balance!DA125</f>
        <v>1.018849441552993E-3</v>
      </c>
      <c r="I125" s="9">
        <f>'Profit and loss'!Z125/'Profit and loss'!P125</f>
        <v>0.26157560453494894</v>
      </c>
      <c r="J125" s="9">
        <f>'Profit and loss'!P125/Balance!AY125</f>
        <v>2.4887522518428122</v>
      </c>
      <c r="K125" s="9">
        <f>LN(Balance!DQ125)</f>
        <v>17.705545671744392</v>
      </c>
      <c r="L125" s="9">
        <f>Balance!AW125/Balance!DA125</f>
        <v>0.36411206288528819</v>
      </c>
      <c r="M125" s="22">
        <f>'Profit and loss'!P125/Balance!DA125</f>
        <v>0.52372587250711167</v>
      </c>
      <c r="N125" s="9" t="e">
        <f>'Profit and loss'!AI125/(Balance!EK125+Balance!FU125)*100</f>
        <v>#DIV/0!</v>
      </c>
      <c r="O125" s="9">
        <f>(Balance!DS125-Balance!DU125+Balance!EQ125-Balance!ES125)/'Profit and loss'!Z125</f>
        <v>1.7590228346916263</v>
      </c>
    </row>
    <row r="126" spans="1:15" s="22" customFormat="1" x14ac:dyDescent="0.25">
      <c r="A126" s="22">
        <v>32</v>
      </c>
      <c r="B126" s="2" t="s">
        <v>147</v>
      </c>
      <c r="C126" s="22">
        <v>2021</v>
      </c>
      <c r="D126" s="22">
        <f>'Profit and loss'!AU126/Balance!DQ126</f>
        <v>9.4033405912250359E-2</v>
      </c>
      <c r="E126" s="22">
        <f>(Balance!DS126-Balance!DU126+Balance!EQ126-Balance!ES126)/Balance!DQ126</f>
        <v>4.4469034010906245</v>
      </c>
      <c r="F126" s="22">
        <f>Balance!CY126/Balance!EQ126</f>
        <v>0.99011246375515982</v>
      </c>
      <c r="G126" s="22">
        <f>LN(Balance!DA126)</f>
        <v>18.647541083443837</v>
      </c>
      <c r="H126" s="22">
        <f>(Balance!GC126-Balance!FC126-Balance!ES126-Balance!EC126-Balance!DU126)/Balance!DA126</f>
        <v>0.75427493540592916</v>
      </c>
      <c r="I126" s="22">
        <f>'Profit and loss'!Z126/'Profit and loss'!P126</f>
        <v>2.8952204545494985E-2</v>
      </c>
      <c r="J126" s="22">
        <f>'Profit and loss'!P126/Balance!AY126</f>
        <v>3.5525788135178615</v>
      </c>
      <c r="K126" s="22">
        <f>LN(Balance!DQ126)</f>
        <v>16.873334752794733</v>
      </c>
      <c r="L126" s="22">
        <f>Balance!AW126/Balance!DA126</f>
        <v>0.18646230955207171</v>
      </c>
      <c r="M126" s="22">
        <f>'Profit and loss'!P126/Balance!DA126</f>
        <v>1.411038550106813</v>
      </c>
      <c r="N126" s="22">
        <f>'Profit and loss'!AI126/(Balance!EK126+Balance!FU126)*100</f>
        <v>38.915277629979329</v>
      </c>
      <c r="O126" s="22">
        <f>(Balance!DS126-Balance!DU126+Balance!EQ126-Balance!ES126)/'Profit and loss'!Z126</f>
        <v>18.463292882784454</v>
      </c>
    </row>
    <row r="127" spans="1:15" s="22" customFormat="1" x14ac:dyDescent="0.25">
      <c r="A127" s="22">
        <v>32</v>
      </c>
      <c r="B127" s="2" t="s">
        <v>147</v>
      </c>
      <c r="C127" s="22">
        <v>2020</v>
      </c>
      <c r="D127" s="22">
        <f>'Profit and loss'!AU127/Balance!DQ127</f>
        <v>0.30402134559033595</v>
      </c>
      <c r="E127" s="22">
        <f>(Balance!DS127-Balance!DU127+Balance!EQ127-Balance!ES127)/Balance!DQ127</f>
        <v>6.2641574908169888</v>
      </c>
      <c r="F127" s="22">
        <f>Balance!CY127/Balance!EQ127</f>
        <v>0.97816727637236822</v>
      </c>
      <c r="G127" s="22">
        <f>LN(Balance!DA127)</f>
        <v>18.891735739069262</v>
      </c>
      <c r="H127" s="22">
        <f>(Balance!GC127-Balance!FC127-Balance!ES127-Balance!EC127-Balance!DU127)/Balance!DA127</f>
        <v>0.80098849393469584</v>
      </c>
      <c r="I127" s="22">
        <f>'Profit and loss'!Z127/'Profit and loss'!P127</f>
        <v>4.6023329780021924E-2</v>
      </c>
      <c r="J127" s="22">
        <f>'Profit and loss'!P127/Balance!AY127</f>
        <v>3.0177231720026367</v>
      </c>
      <c r="K127" s="22">
        <f>LN(Balance!DQ127)</f>
        <v>16.834982941841858</v>
      </c>
      <c r="L127" s="22">
        <f>Balance!AW127/Balance!DA127</f>
        <v>0.16172188796376552</v>
      </c>
      <c r="M127" s="22">
        <f>'Profit and loss'!P127/Balance!DA127</f>
        <v>1.2888316226005936</v>
      </c>
      <c r="N127" s="22">
        <f>'Profit and loss'!AI127/(Balance!EK127+Balance!FU127)*100</f>
        <v>25.759475343927928</v>
      </c>
      <c r="O127" s="22">
        <f>(Balance!DS127-Balance!DU127+Balance!EQ127-Balance!ES127)/'Profit and loss'!Z127</f>
        <v>13.503677506514066</v>
      </c>
    </row>
    <row r="128" spans="1:15" s="22" customFormat="1" x14ac:dyDescent="0.25">
      <c r="A128" s="22">
        <v>32</v>
      </c>
      <c r="B128" s="2" t="s">
        <v>147</v>
      </c>
      <c r="C128" s="22">
        <v>2019</v>
      </c>
      <c r="D128" s="22">
        <f>'Profit and loss'!AU128/Balance!DQ128</f>
        <v>0.6959583741335944</v>
      </c>
      <c r="E128" s="22">
        <f>(Balance!DS128-Balance!DU128+Balance!EQ128-Balance!ES128)/Balance!DQ128</f>
        <v>8.7712617215295641</v>
      </c>
      <c r="F128" s="22">
        <f>Balance!CY128/Balance!EQ128</f>
        <v>0.96190707389272556</v>
      </c>
      <c r="G128" s="22">
        <f>LN(Balance!DA128)</f>
        <v>19.007253622513794</v>
      </c>
      <c r="H128" s="22">
        <f>(Balance!GC128-Balance!FC128-Balance!ES128-Balance!EC128-Balance!DU128)/Balance!DA128</f>
        <v>0.83854550874048872</v>
      </c>
      <c r="I128" s="22">
        <f>'Profit and loss'!Z128/'Profit and loss'!P128</f>
        <v>9.620194695467027E-2</v>
      </c>
      <c r="J128" s="22">
        <f>'Profit and loss'!P128/Balance!AY128</f>
        <v>2.3511804956041016</v>
      </c>
      <c r="K128" s="22">
        <f>LN(Balance!DQ128)</f>
        <v>16.659686533370586</v>
      </c>
      <c r="L128" s="22">
        <f>Balance!AW128/Balance!DA128</f>
        <v>0.15804744723364456</v>
      </c>
      <c r="M128" s="22">
        <f>'Profit and loss'!P128/Balance!DA128</f>
        <v>0.94419476101039923</v>
      </c>
      <c r="N128" s="22">
        <f>'Profit and loss'!AI128/(Balance!EK128+Balance!FU128)*100</f>
        <v>31.905610720281992</v>
      </c>
      <c r="O128" s="22">
        <f>(Balance!DS128-Balance!DU128+Balance!EQ128-Balance!ES128)/'Profit and loss'!Z128</f>
        <v>9.2316895092483406</v>
      </c>
    </row>
    <row r="129" spans="1:15" s="22" customFormat="1" x14ac:dyDescent="0.25">
      <c r="A129" s="22">
        <v>33</v>
      </c>
      <c r="B129" s="20" t="s">
        <v>147</v>
      </c>
      <c r="C129" s="22">
        <v>2018</v>
      </c>
      <c r="D129" s="22">
        <f>'Profit and loss'!AU129/Balance!DQ129</f>
        <v>0.80346586162988443</v>
      </c>
      <c r="E129" s="22">
        <f>(Balance!DS129-Balance!DU129+Balance!EQ129-Balance!ES129)/Balance!DQ129</f>
        <v>17.754467047360844</v>
      </c>
      <c r="F129" s="22">
        <f>Balance!CY129/Balance!EQ129</f>
        <v>0.86169061269319158</v>
      </c>
      <c r="G129" s="22">
        <f>LN(Balance!DA129)</f>
        <v>18.602936515249169</v>
      </c>
      <c r="H129" s="22">
        <f>(Balance!GC129-Balance!FC129-Balance!ES129-Balance!EC129-Balance!DU129)/Balance!DA129</f>
        <v>0.77018440696423818</v>
      </c>
      <c r="I129" s="22">
        <f>'Profit and loss'!Z129/'Profit and loss'!P129</f>
        <v>7.5573000522215911E-2</v>
      </c>
      <c r="J129" s="22">
        <f>'Profit and loss'!P129/Balance!AY129</f>
        <v>1.9988498968560136</v>
      </c>
      <c r="K129" s="22">
        <f>LN(Balance!DQ129)</f>
        <v>15.465174063106419</v>
      </c>
      <c r="L129" s="22">
        <f>Balance!AW129/Balance!DA129</f>
        <v>0.22828830089872745</v>
      </c>
      <c r="M129" s="22">
        <f>'Profit and loss'!P129/Balance!DA129</f>
        <v>0.78845501719921474</v>
      </c>
      <c r="N129" s="22">
        <f>'Profit and loss'!AI129/(Balance!EK129+Balance!FU129)*100</f>
        <v>27.098400879827683</v>
      </c>
      <c r="O129" s="22">
        <f>(Balance!DS129-Balance!DU129+Balance!EQ129-Balance!ES129)/'Profit and loss'!Z129</f>
        <v>12.925612590717078</v>
      </c>
    </row>
    <row r="130" spans="1:15" x14ac:dyDescent="0.25">
      <c r="A130" s="9">
        <v>34</v>
      </c>
      <c r="B130" s="1" t="s">
        <v>148</v>
      </c>
      <c r="C130" s="9">
        <v>2021</v>
      </c>
      <c r="D130" s="9">
        <f>'Profit and loss'!AU130/Balance!DQ130</f>
        <v>0.1129249740664917</v>
      </c>
      <c r="E130" s="22">
        <f>(Balance!DS130-Balance!DU130+Balance!EQ130-Balance!ES130)/Balance!DQ130</f>
        <v>0</v>
      </c>
      <c r="F130" s="9">
        <f>Balance!CY130/Balance!EQ130</f>
        <v>2.4603279977879504</v>
      </c>
      <c r="G130" s="9">
        <f>LN(Balance!DA130)</f>
        <v>17.731616038738196</v>
      </c>
      <c r="H130" s="9">
        <f>(Balance!GC130-Balance!FC130-Balance!ES130-Balance!EC130-Balance!DU130)/Balance!DA130</f>
        <v>0</v>
      </c>
      <c r="I130" s="9">
        <f>'Profit and loss'!Z130/'Profit and loss'!P130</f>
        <v>8.2689727304271002E-2</v>
      </c>
      <c r="J130" s="9">
        <f>'Profit and loss'!P130/Balance!AY130</f>
        <v>2.5324391545451417</v>
      </c>
      <c r="K130" s="9">
        <f>LN(Balance!DQ130)</f>
        <v>17.339811345129856</v>
      </c>
      <c r="L130" s="9">
        <f>Balance!AW130/Balance!DA130</f>
        <v>0.20245047156192505</v>
      </c>
      <c r="M130" s="22">
        <f>'Profit and loss'!P130/Balance!DA130</f>
        <v>1.1064277631778368</v>
      </c>
      <c r="N130" s="9" t="e">
        <f>'Profit and loss'!AI130/(Balance!EK130+Balance!FU130)*100</f>
        <v>#DIV/0!</v>
      </c>
      <c r="O130" s="9">
        <f>(Balance!DS130-Balance!DU130+Balance!EQ130-Balance!ES130)/'Profit and loss'!Z130</f>
        <v>0</v>
      </c>
    </row>
    <row r="131" spans="1:15" x14ac:dyDescent="0.25">
      <c r="A131" s="9">
        <v>34</v>
      </c>
      <c r="B131" s="1" t="s">
        <v>148</v>
      </c>
      <c r="C131" s="9">
        <v>2020</v>
      </c>
      <c r="D131" s="9">
        <f>'Profit and loss'!AU131/Balance!DQ131</f>
        <v>6.3655908438238873E-2</v>
      </c>
      <c r="E131" s="22">
        <f>(Balance!DS131-Balance!DU131+Balance!EQ131-Balance!ES131)/Balance!DQ131</f>
        <v>0</v>
      </c>
      <c r="F131" s="9">
        <f>Balance!CY131/Balance!EQ131</f>
        <v>2.2520339861953338</v>
      </c>
      <c r="G131" s="9">
        <f>LN(Balance!DA131)</f>
        <v>17.663503776827469</v>
      </c>
      <c r="H131" s="9">
        <f>(Balance!GC131-Balance!FC131-Balance!ES131-Balance!EC131-Balance!DU131)/Balance!DA131</f>
        <v>0</v>
      </c>
      <c r="I131" s="9">
        <f>'Profit and loss'!Z131/'Profit and loss'!P131</f>
        <v>0.12008357505559636</v>
      </c>
      <c r="J131" s="9">
        <f>'Profit and loss'!P131/Balance!AY131</f>
        <v>1.8603499595840491</v>
      </c>
      <c r="K131" s="9">
        <f>LN(Balance!DQ131)</f>
        <v>17.258686417162338</v>
      </c>
      <c r="L131" s="9">
        <f>Balance!AW131/Balance!DA131</f>
        <v>0.25029482064305497</v>
      </c>
      <c r="M131" s="22">
        <f>'Profit and loss'!P131/Balance!DA131</f>
        <v>0.5882475633252694</v>
      </c>
      <c r="N131" s="9" t="e">
        <f>'Profit and loss'!AI131/(Balance!EK131+Balance!FU131)*100</f>
        <v>#DIV/0!</v>
      </c>
      <c r="O131" s="9">
        <f>(Balance!DS131-Balance!DU131+Balance!EQ131-Balance!ES131)/'Profit and loss'!Z131</f>
        <v>0</v>
      </c>
    </row>
    <row r="132" spans="1:15" x14ac:dyDescent="0.25">
      <c r="A132" s="9">
        <v>34</v>
      </c>
      <c r="B132" s="1" t="s">
        <v>148</v>
      </c>
      <c r="C132" s="9">
        <v>2019</v>
      </c>
      <c r="D132" s="9">
        <f>'Profit and loss'!AU132/Balance!DQ132</f>
        <v>0.17647036740554634</v>
      </c>
      <c r="E132" s="22">
        <f>(Balance!DS132-Balance!DU132+Balance!EQ132-Balance!ES132)/Balance!DQ132</f>
        <v>0</v>
      </c>
      <c r="F132" s="9">
        <f>Balance!CY132/Balance!EQ132</f>
        <v>2.3619566456320298</v>
      </c>
      <c r="G132" s="9">
        <f>LN(Balance!DA132)</f>
        <v>17.677669857182885</v>
      </c>
      <c r="H132" s="9">
        <f>(Balance!GC132-Balance!FC132-Balance!ES132-Balance!EC132-Balance!DU132)/Balance!DA132</f>
        <v>0</v>
      </c>
      <c r="I132" s="9">
        <f>'Profit and loss'!Z132/'Profit and loss'!P132</f>
        <v>0.24138113280290202</v>
      </c>
      <c r="J132" s="9">
        <f>'Profit and loss'!P132/Balance!AY132</f>
        <v>1.7073026259298014</v>
      </c>
      <c r="K132" s="9">
        <f>LN(Balance!DQ132)</f>
        <v>17.312942025831099</v>
      </c>
      <c r="L132" s="9">
        <f>Balance!AW132/Balance!DA132</f>
        <v>0.27815207271685471</v>
      </c>
      <c r="M132" s="22">
        <f>'Profit and loss'!P132/Balance!DA132</f>
        <v>0.71518709844026507</v>
      </c>
      <c r="N132" s="9" t="e">
        <f>'Profit and loss'!AI132/(Balance!EK132+Balance!FU132)*100</f>
        <v>#DIV/0!</v>
      </c>
      <c r="O132" s="9">
        <f>(Balance!DS132-Balance!DU132+Balance!EQ132-Balance!ES132)/'Profit and loss'!Z132</f>
        <v>0</v>
      </c>
    </row>
    <row r="133" spans="1:15" x14ac:dyDescent="0.25">
      <c r="A133" s="9">
        <v>34</v>
      </c>
      <c r="B133" s="8" t="s">
        <v>148</v>
      </c>
      <c r="C133" s="9">
        <v>2018</v>
      </c>
      <c r="D133" s="9">
        <f>'Profit and loss'!AU133/Balance!DQ133</f>
        <v>0.2258450779941705</v>
      </c>
      <c r="E133" s="22">
        <f>(Balance!DS133-Balance!DU133+Balance!EQ133-Balance!ES133)/Balance!DQ133</f>
        <v>0</v>
      </c>
      <c r="F133" s="9">
        <f>Balance!CY133/Balance!EQ133</f>
        <v>2.01201573111944</v>
      </c>
      <c r="G133" s="9">
        <f>LN(Balance!DA133)</f>
        <v>17.599552612811461</v>
      </c>
      <c r="H133" s="9">
        <f>(Balance!GC133-Balance!FC133-Balance!ES133-Balance!EC133-Balance!DU133)/Balance!DA133</f>
        <v>0</v>
      </c>
      <c r="I133" s="9">
        <f>'Profit and loss'!Z133/'Profit and loss'!P133</f>
        <v>0.21543484131506813</v>
      </c>
      <c r="J133" s="9">
        <f>'Profit and loss'!P133/Balance!AY133</f>
        <v>2.3566905131757738</v>
      </c>
      <c r="K133" s="9">
        <f>LN(Balance!DQ133)</f>
        <v>17.189519083176851</v>
      </c>
      <c r="L133" s="9">
        <f>Balance!AW133/Balance!DA133</f>
        <v>0.32321424159251499</v>
      </c>
      <c r="M133" s="22">
        <f>'Profit and loss'!P133/Balance!DA133</f>
        <v>0.84247889126002162</v>
      </c>
      <c r="N133" s="9" t="e">
        <f>'Profit and loss'!AI133/(Balance!EK133+Balance!FU133)*100</f>
        <v>#DIV/0!</v>
      </c>
      <c r="O133" s="9">
        <f>(Balance!DS133-Balance!DU133+Balance!EQ133-Balance!ES133)/'Profit and loss'!Z133</f>
        <v>0</v>
      </c>
    </row>
    <row r="134" spans="1:15" x14ac:dyDescent="0.25">
      <c r="A134" s="9">
        <v>35</v>
      </c>
      <c r="B134" s="1" t="s">
        <v>149</v>
      </c>
      <c r="C134" s="9">
        <v>2021</v>
      </c>
      <c r="D134" s="9">
        <f>'Profit and loss'!AU134/Balance!DQ134</f>
        <v>-4.7605932381792462E-2</v>
      </c>
      <c r="E134" s="22">
        <f>(Balance!DS134-Balance!DU134+Balance!EQ134-Balance!ES134)/Balance!DQ134</f>
        <v>0</v>
      </c>
      <c r="F134" s="9">
        <f>Balance!CY134/Balance!EQ134</f>
        <v>22.982578054461069</v>
      </c>
      <c r="G134" s="9">
        <f>LN(Balance!DA134)</f>
        <v>15.159752240499509</v>
      </c>
      <c r="H134" s="9">
        <f>(Balance!GC134-Balance!FC134-Balance!ES134-Balance!EC134-Balance!DU134)/Balance!DA134</f>
        <v>0</v>
      </c>
      <c r="I134" s="9">
        <f>'Profit and loss'!Z134/'Profit and loss'!P134</f>
        <v>0</v>
      </c>
      <c r="J134" s="9">
        <f>'Profit and loss'!P134/Balance!AY134</f>
        <v>1.5498328387987721</v>
      </c>
      <c r="K134" s="9">
        <f>LN(Balance!DQ134)</f>
        <v>15.123643235965828</v>
      </c>
      <c r="L134" s="9">
        <f>Balance!AW134/Balance!DA134</f>
        <v>0.18492629481674891</v>
      </c>
      <c r="M134" s="22">
        <f>'Profit and loss'!P134/Balance!DA134</f>
        <v>0.62847555984142878</v>
      </c>
      <c r="N134" s="9" t="e">
        <f>'Profit and loss'!AI134/(Balance!EK134+Balance!FU134)*100</f>
        <v>#DIV/0!</v>
      </c>
      <c r="O134" s="9" t="e">
        <f>(Balance!DS134-Balance!DU134+Balance!EQ134-Balance!ES134)/'Profit and loss'!Z134</f>
        <v>#DIV/0!</v>
      </c>
    </row>
    <row r="135" spans="1:15" x14ac:dyDescent="0.25">
      <c r="A135" s="9">
        <v>35</v>
      </c>
      <c r="B135" s="1" t="s">
        <v>149</v>
      </c>
      <c r="C135" s="9">
        <v>2020</v>
      </c>
      <c r="D135" s="9">
        <f>'Profit and loss'!AU135/Balance!DQ135</f>
        <v>8.6507574874335746E-3</v>
      </c>
      <c r="E135" s="22">
        <f>(Balance!DS135-Balance!DU135+Balance!EQ135-Balance!ES135)/Balance!DQ135</f>
        <v>0</v>
      </c>
      <c r="F135" s="9">
        <f>Balance!CY135/Balance!EQ135</f>
        <v>18.583257182963436</v>
      </c>
      <c r="G135" s="9">
        <f>LN(Balance!DA135)</f>
        <v>15.211591491480144</v>
      </c>
      <c r="H135" s="9">
        <f>(Balance!GC135-Balance!FC135-Balance!ES135-Balance!EC135-Balance!DU135)/Balance!DA135</f>
        <v>0</v>
      </c>
      <c r="I135" s="9">
        <f>'Profit and loss'!Z135/'Profit and loss'!P135</f>
        <v>1.4346711746402255E-3</v>
      </c>
      <c r="J135" s="9">
        <f>'Profit and loss'!P135/Balance!AY135</f>
        <v>1.3352901146882576</v>
      </c>
      <c r="K135" s="9">
        <f>LN(Balance!DQ135)</f>
        <v>15.168533800540301</v>
      </c>
      <c r="L135" s="9">
        <f>Balance!AW135/Balance!DA135</f>
        <v>0.21682960378410676</v>
      </c>
      <c r="M135" s="22">
        <f>'Profit and loss'!P135/Balance!DA135</f>
        <v>0.52878088723275518</v>
      </c>
      <c r="N135" s="9" t="e">
        <f>'Profit and loss'!AI135/(Balance!EK135+Balance!FU135)*100</f>
        <v>#DIV/0!</v>
      </c>
      <c r="O135" s="9">
        <f>(Balance!DS135-Balance!DU135+Balance!EQ135-Balance!ES135)/'Profit and loss'!Z135</f>
        <v>0</v>
      </c>
    </row>
    <row r="136" spans="1:15" x14ac:dyDescent="0.25">
      <c r="A136" s="9">
        <v>35</v>
      </c>
      <c r="B136" s="1" t="s">
        <v>149</v>
      </c>
      <c r="C136" s="9">
        <v>2019</v>
      </c>
      <c r="D136" s="9">
        <f>'Profit and loss'!AU136/Balance!DQ136</f>
        <v>-0.17994121635592292</v>
      </c>
      <c r="E136" s="22">
        <f>(Balance!DS136-Balance!DU136+Balance!EQ136-Balance!ES136)/Balance!DQ136</f>
        <v>0</v>
      </c>
      <c r="F136" s="9">
        <f>Balance!CY136/Balance!EQ136</f>
        <v>15.60961531132023</v>
      </c>
      <c r="G136" s="9">
        <f>LN(Balance!DA136)</f>
        <v>15.214467847219407</v>
      </c>
      <c r="H136" s="9">
        <f>(Balance!GC136-Balance!FC136-Balance!ES136-Balance!EC136-Balance!DU136)/Balance!DA136</f>
        <v>0</v>
      </c>
      <c r="I136" s="9">
        <f>'Profit and loss'!Z136/'Profit and loss'!P136</f>
        <v>0</v>
      </c>
      <c r="J136" s="9">
        <f>'Profit and loss'!P136/Balance!AY136</f>
        <v>0.93038341237740851</v>
      </c>
      <c r="K136" s="9">
        <f>LN(Balance!DQ136)</f>
        <v>15.162013747250265</v>
      </c>
      <c r="L136" s="9">
        <f>Balance!AW136/Balance!DA136</f>
        <v>0.2023154793223951</v>
      </c>
      <c r="M136" s="22">
        <f>'Profit and loss'!P136/Balance!DA136</f>
        <v>0.42008233245114296</v>
      </c>
      <c r="N136" s="9" t="e">
        <f>'Profit and loss'!AI136/(Balance!EK136+Balance!FU136)*100</f>
        <v>#DIV/0!</v>
      </c>
      <c r="O136" s="9" t="e">
        <f>(Balance!DS136-Balance!DU136+Balance!EQ136-Balance!ES136)/'Profit and loss'!Z136</f>
        <v>#DIV/0!</v>
      </c>
    </row>
    <row r="137" spans="1:15" x14ac:dyDescent="0.25">
      <c r="A137" s="9">
        <v>35</v>
      </c>
      <c r="B137" s="8" t="s">
        <v>149</v>
      </c>
      <c r="C137" s="9">
        <v>2018</v>
      </c>
      <c r="D137" s="9">
        <f>'Profit and loss'!AU137/Balance!DQ137</f>
        <v>-4.7565806397835289E-3</v>
      </c>
      <c r="E137" s="22">
        <f>(Balance!DS137-Balance!DU137+Balance!EQ137-Balance!ES137)/Balance!DQ137</f>
        <v>0</v>
      </c>
      <c r="F137" s="9">
        <f>Balance!CY137/Balance!EQ137</f>
        <v>33.873963268063655</v>
      </c>
      <c r="G137" s="9">
        <f>LN(Balance!DA137)</f>
        <v>15.348180106538788</v>
      </c>
      <c r="H137" s="9">
        <f>(Balance!GC137-Balance!FC137-Balance!ES137-Balance!EC137-Balance!DU137)/Balance!DA137</f>
        <v>0</v>
      </c>
      <c r="I137" s="9">
        <f>'Profit and loss'!Z137/'Profit and loss'!P137</f>
        <v>1.7187738395845177E-2</v>
      </c>
      <c r="J137" s="9">
        <f>'Profit and loss'!P137/Balance!AY137</f>
        <v>1.7294299113301128</v>
      </c>
      <c r="K137" s="9">
        <f>LN(Balance!DQ137)</f>
        <v>15.324670047889787</v>
      </c>
      <c r="L137" s="9">
        <f>Balance!AW137/Balance!DA137</f>
        <v>0.21290966015419246</v>
      </c>
      <c r="M137" s="22">
        <f>'Profit and loss'!P137/Balance!DA137</f>
        <v>0.67605653223863282</v>
      </c>
      <c r="N137" s="9" t="e">
        <f>'Profit and loss'!AI137/(Balance!EK137+Balance!FU137)*100</f>
        <v>#DIV/0!</v>
      </c>
      <c r="O137" s="9">
        <f>(Balance!DS137-Balance!DU137+Balance!EQ137-Balance!ES137)/'Profit and loss'!Z137</f>
        <v>0</v>
      </c>
    </row>
    <row r="138" spans="1:15" s="22" customFormat="1" x14ac:dyDescent="0.25">
      <c r="A138" s="22">
        <v>36</v>
      </c>
      <c r="B138" s="2" t="s">
        <v>150</v>
      </c>
      <c r="C138" s="22">
        <v>2021</v>
      </c>
      <c r="D138" s="22">
        <f>'Profit and loss'!AU138/Balance!DQ138</f>
        <v>4.5266503787639446E-2</v>
      </c>
      <c r="E138" s="22">
        <f>(Balance!DS138-Balance!DU138+Balance!EQ138-Balance!ES138)/Balance!DQ138</f>
        <v>2.7000672519546653</v>
      </c>
      <c r="F138" s="22">
        <f>Balance!CY138/Balance!EQ138</f>
        <v>1.0058343008709032</v>
      </c>
      <c r="G138" s="22">
        <f>LN(Balance!DA138)</f>
        <v>17.077338970027355</v>
      </c>
      <c r="H138" s="22">
        <f>(Balance!GC138-Balance!FC138-Balance!ES138-Balance!EC138-Balance!DU138)/Balance!DA138</f>
        <v>0.70736661122012656</v>
      </c>
      <c r="I138" s="22">
        <f>'Profit and loss'!Z138/'Profit and loss'!P138</f>
        <v>8.4335646442193803E-3</v>
      </c>
      <c r="J138" s="22">
        <f>'Profit and loss'!P138/Balance!AY138</f>
        <v>2.4426902621197266</v>
      </c>
      <c r="K138" s="22">
        <f>LN(Balance!DQ138)</f>
        <v>15.73785608657823</v>
      </c>
      <c r="L138" s="22">
        <f>Balance!AW138/Balance!DA138</f>
        <v>0.25767528406293239</v>
      </c>
      <c r="M138" s="22">
        <f>'Profit and loss'!P138/Balance!DA138</f>
        <v>1.674836658784598</v>
      </c>
      <c r="N138" s="22" t="e">
        <f>'Profit and loss'!AI138/(Balance!EK138+Balance!FU138)*100</f>
        <v>#DIV/0!</v>
      </c>
      <c r="O138" s="22">
        <f>(Balance!DS138-Balance!DU138+Balance!EQ138-Balance!ES138)/'Profit and loss'!Z138</f>
        <v>50.079607942075697</v>
      </c>
    </row>
    <row r="139" spans="1:15" s="22" customFormat="1" x14ac:dyDescent="0.25">
      <c r="A139" s="22">
        <v>36</v>
      </c>
      <c r="B139" s="2" t="s">
        <v>150</v>
      </c>
      <c r="C139" s="22">
        <v>2020</v>
      </c>
      <c r="D139" s="22">
        <f>'Profit and loss'!AU139/Balance!DQ139</f>
        <v>0.17656594067142137</v>
      </c>
      <c r="E139" s="22">
        <f>(Balance!DS139-Balance!DU139+Balance!EQ139-Balance!ES139)/Balance!DQ139</f>
        <v>3.9470540567689643</v>
      </c>
      <c r="F139" s="22">
        <f>Balance!CY139/Balance!EQ139</f>
        <v>0.99452662806274472</v>
      </c>
      <c r="G139" s="22">
        <f>LN(Balance!DA139)</f>
        <v>17.352198599133466</v>
      </c>
      <c r="H139" s="22">
        <f>(Balance!GC139-Balance!FC139-Balance!ES139-Balance!EC139-Balance!DU139)/Balance!DA139</f>
        <v>0.78464982124536298</v>
      </c>
      <c r="I139" s="22">
        <f>'Profit and loss'!Z139/'Profit and loss'!P139</f>
        <v>2.8399561196743115E-2</v>
      </c>
      <c r="J139" s="22">
        <f>'Profit and loss'!P139/Balance!AY139</f>
        <v>2.813436325891185</v>
      </c>
      <c r="K139" s="22">
        <f>LN(Balance!DQ139)</f>
        <v>15.736711358574887</v>
      </c>
      <c r="L139" s="22">
        <f>Balance!AW139/Balance!DA139</f>
        <v>0.2031790860495116</v>
      </c>
      <c r="M139" s="22">
        <f>'Profit and loss'!P139/Balance!DA139</f>
        <v>1.7942723704554673</v>
      </c>
      <c r="N139" s="22">
        <f>'Profit and loss'!AI139/(Balance!EK139+Balance!FU139)*100</f>
        <v>49.474999355036061</v>
      </c>
      <c r="O139" s="22">
        <f>(Balance!DS139-Balance!DU139+Balance!EQ139-Balance!ES139)/'Profit and loss'!Z139</f>
        <v>15.398410061536422</v>
      </c>
    </row>
    <row r="140" spans="1:15" s="22" customFormat="1" x14ac:dyDescent="0.25">
      <c r="A140" s="22">
        <v>36</v>
      </c>
      <c r="B140" s="2" t="s">
        <v>150</v>
      </c>
      <c r="C140" s="22">
        <v>2019</v>
      </c>
      <c r="D140" s="22">
        <f>'Profit and loss'!AU140/Balance!DQ140</f>
        <v>0.48008574002560711</v>
      </c>
      <c r="E140" s="22">
        <f>(Balance!DS140-Balance!DU140+Balance!EQ140-Balance!ES140)/Balance!DQ140</f>
        <v>3.547641826625227</v>
      </c>
      <c r="F140" s="22">
        <f>Balance!CY140/Balance!EQ140</f>
        <v>0.9787238389268107</v>
      </c>
      <c r="G140" s="22">
        <f>LN(Balance!DA140)</f>
        <v>17.420769162566895</v>
      </c>
      <c r="H140" s="22">
        <f>(Balance!GC140-Balance!FC140-Balance!ES140-Balance!EC140-Balance!DU140)/Balance!DA140</f>
        <v>0.59767691168080239</v>
      </c>
      <c r="I140" s="22">
        <f>'Profit and loss'!Z140/'Profit and loss'!P140</f>
        <v>7.2113676134109628E-2</v>
      </c>
      <c r="J140" s="22">
        <f>'Profit and loss'!P140/Balance!AY140</f>
        <v>2.2617638087677392</v>
      </c>
      <c r="K140" s="22">
        <f>LN(Balance!DQ140)</f>
        <v>15.63978110149114</v>
      </c>
      <c r="L140" s="22">
        <f>Balance!AW140/Balance!DA140</f>
        <v>0.18616333684386513</v>
      </c>
      <c r="M140" s="22">
        <f>'Profit and loss'!P140/Balance!DA140</f>
        <v>1.3570164080282574</v>
      </c>
      <c r="N140" s="22">
        <f>'Profit and loss'!AI140/(Balance!EK140+Balance!FU140)*100</f>
        <v>20.035695469193353</v>
      </c>
      <c r="O140" s="22">
        <f>(Balance!DS140-Balance!DU140+Balance!EQ140-Balance!ES140)/'Profit and loss'!Z140</f>
        <v>6.1075037926699673</v>
      </c>
    </row>
    <row r="141" spans="1:15" s="22" customFormat="1" x14ac:dyDescent="0.25">
      <c r="A141" s="22">
        <v>36</v>
      </c>
      <c r="B141" s="20" t="s">
        <v>150</v>
      </c>
      <c r="C141" s="22">
        <v>2018</v>
      </c>
      <c r="D141" s="22">
        <f>'Profit and loss'!AU141/Balance!DQ141</f>
        <v>7.4396586237924792E-2</v>
      </c>
      <c r="E141" s="22">
        <f>(Balance!DS141-Balance!DU141+Balance!EQ141-Balance!ES141)/Balance!DQ141</f>
        <v>4.9645664947629484</v>
      </c>
      <c r="F141" s="22">
        <f>Balance!CY141/Balance!EQ141</f>
        <v>0.87566633561340712</v>
      </c>
      <c r="G141" s="22">
        <f>LN(Balance!DA141)</f>
        <v>16.97597870428033</v>
      </c>
      <c r="H141" s="22">
        <f>(Balance!GC141-Balance!FC141-Balance!ES141-Balance!EC141-Balance!DU141)/Balance!DA141</f>
        <v>0.63732282662528084</v>
      </c>
      <c r="I141" s="22">
        <f>'Profit and loss'!Z141/'Profit and loss'!P141</f>
        <v>1.6220631529666435E-2</v>
      </c>
      <c r="J141" s="22">
        <f>'Profit and loss'!P141/Balance!AY141</f>
        <v>2.0437851916659593</v>
      </c>
      <c r="K141" s="22">
        <f>LN(Balance!DQ141)</f>
        <v>14.923173763232798</v>
      </c>
      <c r="L141" s="22">
        <f>Balance!AW141/Balance!DA141</f>
        <v>0.23939241188258675</v>
      </c>
      <c r="M141" s="22">
        <f>'Profit and loss'!P141/Balance!DA141</f>
        <v>1.1709947313657201</v>
      </c>
      <c r="N141" s="22">
        <f>'Profit and loss'!AI141/(Balance!EK141+Balance!FU141)*100</f>
        <v>13.319481073017394</v>
      </c>
      <c r="O141" s="22">
        <f>(Balance!DS141-Balance!DU141+Balance!EQ141-Balance!ES141)/'Profit and loss'!Z141</f>
        <v>33.553418498111256</v>
      </c>
    </row>
    <row r="142" spans="1:15" s="22" customFormat="1" x14ac:dyDescent="0.25">
      <c r="A142" s="22">
        <v>37</v>
      </c>
      <c r="B142" s="2" t="s">
        <v>151</v>
      </c>
      <c r="C142" s="22">
        <v>2021</v>
      </c>
      <c r="D142" s="22">
        <f>'Profit and loss'!AU142/Balance!DQ142</f>
        <v>2.4298603848864064E-2</v>
      </c>
      <c r="E142" s="22">
        <f>(Balance!DS142-Balance!DU142+Balance!EQ142-Balance!ES142)/Balance!DQ142</f>
        <v>0.41540060807980222</v>
      </c>
      <c r="F142" s="22">
        <f>Balance!CY142/Balance!EQ142</f>
        <v>3.1256774073939693</v>
      </c>
      <c r="G142" s="22">
        <f>LN(Balance!DA142)</f>
        <v>18.892294413886713</v>
      </c>
      <c r="H142" s="22">
        <f>(Balance!GC142-Balance!FC142-Balance!ES142-Balance!EC142-Balance!DU142)/Balance!DA142</f>
        <v>0.2299262986327768</v>
      </c>
      <c r="I142" s="22">
        <f>'Profit and loss'!Z142/'Profit and loss'!P142</f>
        <v>2.9722094258528012E-2</v>
      </c>
      <c r="J142" s="22">
        <f>'Profit and loss'!P142/Balance!AY142</f>
        <v>1.0890280220976394</v>
      </c>
      <c r="K142" s="22">
        <f>LN(Balance!DQ142)</f>
        <v>18.486078483356177</v>
      </c>
      <c r="L142" s="22">
        <f>Balance!AW142/Balance!DA142</f>
        <v>0.1028239284481941</v>
      </c>
      <c r="M142" s="22">
        <f>'Profit and loss'!P142/Balance!DA142</f>
        <v>0.79218859181493639</v>
      </c>
      <c r="N142" s="22" t="e">
        <f>'Profit and loss'!AI142/(Balance!EK142+Balance!FU142)*100</f>
        <v>#DIV/0!</v>
      </c>
      <c r="O142" s="22">
        <f>(Balance!DS142-Balance!DU142+Balance!EQ142-Balance!ES142)/'Profit and loss'!Z142</f>
        <v>11.752812288069675</v>
      </c>
    </row>
    <row r="143" spans="1:15" s="22" customFormat="1" x14ac:dyDescent="0.25">
      <c r="A143" s="22">
        <v>37</v>
      </c>
      <c r="B143" s="2" t="s">
        <v>151</v>
      </c>
      <c r="C143" s="22">
        <v>2020</v>
      </c>
      <c r="D143" s="22">
        <f>'Profit and loss'!AU143/Balance!DQ143</f>
        <v>6.7143361331748919E-2</v>
      </c>
      <c r="E143" s="22">
        <f>(Balance!DS143-Balance!DU143+Balance!EQ143-Balance!ES143)/Balance!DQ143</f>
        <v>0.65095796459571542</v>
      </c>
      <c r="F143" s="22">
        <f>Balance!CY143/Balance!EQ143</f>
        <v>2.2614020846834713</v>
      </c>
      <c r="G143" s="22">
        <f>LN(Balance!DA143)</f>
        <v>19.034436959741555</v>
      </c>
      <c r="H143" s="22">
        <f>(Balance!GC143-Balance!FC143-Balance!ES143-Balance!EC143-Balance!DU143)/Balance!DA143</f>
        <v>0.37083095519766046</v>
      </c>
      <c r="I143" s="22">
        <f>'Profit and loss'!Z143/'Profit and loss'!P143</f>
        <v>8.986804223767135E-2</v>
      </c>
      <c r="J143" s="22">
        <f>'Profit and loss'!P143/Balance!AY143</f>
        <v>0.82125392523485552</v>
      </c>
      <c r="K143" s="22">
        <f>LN(Balance!DQ143)</f>
        <v>18.471738202532837</v>
      </c>
      <c r="L143" s="22">
        <f>Balance!AW143/Balance!DA143</f>
        <v>7.9481758943354172E-2</v>
      </c>
      <c r="M143" s="22">
        <f>'Profit and loss'!P143/Balance!DA143</f>
        <v>0.61872128335946697</v>
      </c>
      <c r="N143" s="22">
        <f>'Profit and loss'!AI143/(Balance!EK143+Balance!FU143)*100</f>
        <v>35.718209723928481</v>
      </c>
      <c r="O143" s="22">
        <f>(Balance!DS143-Balance!DU143+Balance!EQ143-Balance!ES143)/'Profit and loss'!Z143</f>
        <v>6.6692292081851079</v>
      </c>
    </row>
    <row r="144" spans="1:15" s="22" customFormat="1" x14ac:dyDescent="0.25">
      <c r="A144" s="22">
        <v>37</v>
      </c>
      <c r="B144" s="2" t="s">
        <v>151</v>
      </c>
      <c r="C144" s="22">
        <v>2019</v>
      </c>
      <c r="D144" s="22">
        <f>'Profit and loss'!AU144/Balance!DQ144</f>
        <v>6.4193511581348547E-2</v>
      </c>
      <c r="E144" s="22">
        <f>(Balance!DS144-Balance!DU144+Balance!EQ144-Balance!ES144)/Balance!DQ144</f>
        <v>1.1642479573393816</v>
      </c>
      <c r="F144" s="22">
        <f>Balance!CY144/Balance!EQ144</f>
        <v>1.632910279152731</v>
      </c>
      <c r="G144" s="22">
        <f>LN(Balance!DA144)</f>
        <v>18.774295988782157</v>
      </c>
      <c r="H144" s="22">
        <f>(Balance!GC144-Balance!FC144-Balance!ES144-Balance!EC144-Balance!DU144)/Balance!DA144</f>
        <v>0.46727848451760645</v>
      </c>
      <c r="I144" s="22">
        <f>'Profit and loss'!Z144/'Profit and loss'!P144</f>
        <v>6.991725488526139E-2</v>
      </c>
      <c r="J144" s="22">
        <f>'Profit and loss'!P144/Balance!AY144</f>
        <v>0.76163974609779805</v>
      </c>
      <c r="K144" s="22">
        <f>LN(Balance!DQ144)</f>
        <v>17.861390767934473</v>
      </c>
      <c r="L144" s="22">
        <f>Balance!AW144/Balance!DA144</f>
        <v>0.10646294273871446</v>
      </c>
      <c r="M144" s="22">
        <f>'Profit and loss'!P144/Balance!DA144</f>
        <v>0.53126541405905492</v>
      </c>
      <c r="N144" s="22">
        <f>'Profit and loss'!AI144/(Balance!EK144+Balance!FU144)*100</f>
        <v>13.78247974234883</v>
      </c>
      <c r="O144" s="22">
        <f>(Balance!DS144-Balance!DU144+Balance!EQ144-Balance!ES144)/'Profit and loss'!Z144</f>
        <v>12.579977732633614</v>
      </c>
    </row>
    <row r="145" spans="1:15" s="22" customFormat="1" x14ac:dyDescent="0.25">
      <c r="A145" s="22">
        <v>37</v>
      </c>
      <c r="B145" s="20" t="s">
        <v>151</v>
      </c>
      <c r="C145" s="22">
        <v>2018</v>
      </c>
      <c r="D145" s="22">
        <f>'Profit and loss'!AU145/Balance!DQ145</f>
        <v>9.5466739403230025E-4</v>
      </c>
      <c r="E145" s="22">
        <f>(Balance!DS145-Balance!DU145+Balance!EQ145-Balance!ES145)/Balance!DQ145</f>
        <v>0.96561538604709685</v>
      </c>
      <c r="F145" s="22">
        <f>Balance!CY145/Balance!EQ145</f>
        <v>1.6470225329591339</v>
      </c>
      <c r="G145" s="22">
        <f>LN(Balance!DA145)</f>
        <v>18.490126822059015</v>
      </c>
      <c r="H145" s="22">
        <f>(Balance!GC145-Balance!FC145-Balance!ES145-Balance!EC145-Balance!DU145)/Balance!DA145</f>
        <v>0.41381969300417742</v>
      </c>
      <c r="I145" s="22">
        <f>'Profit and loss'!Z145/'Profit and loss'!P145</f>
        <v>5.6421971531401055E-3</v>
      </c>
      <c r="J145" s="22">
        <f>'Profit and loss'!P145/Balance!AY145</f>
        <v>0.62391200758859233</v>
      </c>
      <c r="K145" s="22">
        <f>LN(Balance!DQ145)</f>
        <v>17.642791573032277</v>
      </c>
      <c r="L145" s="22">
        <f>Balance!AW145/Balance!DA145</f>
        <v>5.8817875974520574E-2</v>
      </c>
      <c r="M145" s="22">
        <f>'Profit and loss'!P145/Balance!DA145</f>
        <v>0.44003163088808989</v>
      </c>
      <c r="N145" s="22" t="e">
        <f>'Profit and loss'!AI145/(Balance!EK145+Balance!FU145)*100</f>
        <v>#DIV/0!</v>
      </c>
      <c r="O145" s="22">
        <f>(Balance!DS145-Balance!DU145+Balance!EQ145-Balance!ES145)/'Profit and loss'!Z145</f>
        <v>166.67827632463954</v>
      </c>
    </row>
    <row r="146" spans="1:15" x14ac:dyDescent="0.25">
      <c r="A146" s="9">
        <v>38</v>
      </c>
      <c r="B146" s="1" t="s">
        <v>152</v>
      </c>
      <c r="C146" s="9">
        <v>2021</v>
      </c>
      <c r="D146" s="9">
        <f>'Profit and loss'!AU146/Balance!DQ146</f>
        <v>1.5440294613807944E-2</v>
      </c>
      <c r="E146" s="22">
        <f>(Balance!DS146-Balance!DU146+Balance!EQ146-Balance!ES146)/Balance!DQ146</f>
        <v>1.531524000923042</v>
      </c>
      <c r="F146" s="9">
        <f>Balance!CY146/Balance!EQ146</f>
        <v>1.6264881235138098</v>
      </c>
      <c r="G146" s="9">
        <f>LN(Balance!DA146)</f>
        <v>17.196819120795865</v>
      </c>
      <c r="H146" s="9">
        <f>(Balance!GC146-Balance!FC146-Balance!ES146-Balance!EC146-Balance!DU146)/Balance!DA146</f>
        <v>0.45769779811543843</v>
      </c>
      <c r="I146" s="9">
        <f>'Profit and loss'!Z146/'Profit and loss'!P146</f>
        <v>0.35032938291943044</v>
      </c>
      <c r="J146" s="9">
        <f>'Profit and loss'!P146/Balance!AY146</f>
        <v>0.93372362621043359</v>
      </c>
      <c r="K146" s="9">
        <f>LN(Balance!DQ146)</f>
        <v>15.989009660020916</v>
      </c>
      <c r="L146" s="9">
        <f>Balance!AW146/Balance!DA146</f>
        <v>0.34470470662720792</v>
      </c>
      <c r="M146" s="22">
        <f>'Profit and loss'!P146/Balance!DA146</f>
        <v>0.29703368528580137</v>
      </c>
      <c r="N146" s="9">
        <f>'Profit and loss'!AI146/(Balance!EK146+Balance!FU146)*100</f>
        <v>14.675754037800019</v>
      </c>
      <c r="O146" s="9">
        <f>(Balance!DS146-Balance!DU146+Balance!EQ146-Balance!ES146)/'Profit and loss'!Z146</f>
        <v>4.3984185639804556</v>
      </c>
    </row>
    <row r="147" spans="1:15" x14ac:dyDescent="0.25">
      <c r="A147" s="9">
        <v>38</v>
      </c>
      <c r="B147" s="1" t="s">
        <v>152</v>
      </c>
      <c r="C147" s="9">
        <v>2020</v>
      </c>
      <c r="D147" s="9">
        <f>'Profit and loss'!AU147/Balance!DQ147</f>
        <v>4.1279955797684502E-2</v>
      </c>
      <c r="E147" s="22">
        <f>(Balance!DS147-Balance!DU147+Balance!EQ147-Balance!ES147)/Balance!DQ147</f>
        <v>2.1638375825863125</v>
      </c>
      <c r="F147" s="9">
        <f>Balance!CY147/Balance!EQ147</f>
        <v>1.3164979639591601</v>
      </c>
      <c r="G147" s="9">
        <f>LN(Balance!DA147)</f>
        <v>17.55299728881047</v>
      </c>
      <c r="H147" s="9">
        <f>(Balance!GC147-Balance!FC147-Balance!ES147-Balance!EC147-Balance!DU147)/Balance!DA147</f>
        <v>0.46996050129827283</v>
      </c>
      <c r="I147" s="9">
        <f>'Profit and loss'!Z147/'Profit and loss'!P147</f>
        <v>0.18520223440747119</v>
      </c>
      <c r="J147" s="9">
        <f>'Profit and loss'!P147/Balance!AY147</f>
        <v>1.5014485632112828</v>
      </c>
      <c r="K147" s="9">
        <f>LN(Balance!DQ147)</f>
        <v>16.026007357300173</v>
      </c>
      <c r="L147" s="9">
        <f>Balance!AW147/Balance!DA147</f>
        <v>0.26299192971251406</v>
      </c>
      <c r="M147" s="22">
        <f>'Profit and loss'!P147/Balance!DA147</f>
        <v>0.35810599281298144</v>
      </c>
      <c r="N147" s="9">
        <f>'Profit and loss'!AI147/(Balance!EK147+Balance!FU147)*100</f>
        <v>3.5063712984874309</v>
      </c>
      <c r="O147" s="9">
        <f>(Balance!DS147-Balance!DU147+Balance!EQ147-Balance!ES147)/'Profit and loss'!Z147</f>
        <v>7.0860391506494365</v>
      </c>
    </row>
    <row r="148" spans="1:15" x14ac:dyDescent="0.25">
      <c r="A148" s="9">
        <v>38</v>
      </c>
      <c r="B148" s="1" t="s">
        <v>152</v>
      </c>
      <c r="C148" s="9">
        <v>2019</v>
      </c>
      <c r="D148" s="9">
        <f>'Profit and loss'!AU148/Balance!DQ148</f>
        <v>0.21890102336602255</v>
      </c>
      <c r="E148" s="22">
        <f>(Balance!DS148-Balance!DU148+Balance!EQ148-Balance!ES148)/Balance!DQ148</f>
        <v>1.2995537035798819</v>
      </c>
      <c r="F148" s="9">
        <f>Balance!CY148/Balance!EQ148</f>
        <v>1.6296247469249157</v>
      </c>
      <c r="G148" s="9">
        <f>LN(Balance!DA148)</f>
        <v>17.271983908277683</v>
      </c>
      <c r="H148" s="9">
        <f>(Balance!GC148-Balance!FC148-Balance!ES148-Balance!EC148-Balance!DU148)/Balance!DA148</f>
        <v>0.40236817046521295</v>
      </c>
      <c r="I148" s="9">
        <f>'Profit and loss'!Z148/'Profit and loss'!P148</f>
        <v>0.25716988969030313</v>
      </c>
      <c r="J148" s="9">
        <f>'Profit and loss'!P148/Balance!AY148</f>
        <v>1.7073193550063461</v>
      </c>
      <c r="K148" s="9">
        <f>LN(Balance!DQ148)</f>
        <v>16.09957524512474</v>
      </c>
      <c r="L148" s="9">
        <f>Balance!AW148/Balance!DA148</f>
        <v>0.3337340017862015</v>
      </c>
      <c r="M148" s="22">
        <f>'Profit and loss'!P148/Balance!DA148</f>
        <v>0.31736745003708144</v>
      </c>
      <c r="N148" s="9">
        <f>'Profit and loss'!AI148/(Balance!EK148+Balance!FU148)*100</f>
        <v>1.4377325663041549</v>
      </c>
      <c r="O148" s="9">
        <f>(Balance!DS148-Balance!DU148+Balance!EQ148-Balance!ES148)/'Profit and loss'!Z148</f>
        <v>4.9299341381081403</v>
      </c>
    </row>
    <row r="149" spans="1:15" x14ac:dyDescent="0.25">
      <c r="A149" s="9">
        <v>38</v>
      </c>
      <c r="B149" s="8" t="s">
        <v>152</v>
      </c>
      <c r="C149" s="9">
        <v>2018</v>
      </c>
      <c r="D149" s="9">
        <f>'Profit and loss'!AU149/Balance!DQ149</f>
        <v>0.216819567578004</v>
      </c>
      <c r="E149" s="22">
        <f>(Balance!DS149-Balance!DU149+Balance!EQ149-Balance!ES149)/Balance!DQ149</f>
        <v>0.13150237209340476</v>
      </c>
      <c r="F149" s="9">
        <f>Balance!CY149/Balance!EQ149</f>
        <v>1.7267810031293576</v>
      </c>
      <c r="G149" s="9">
        <f>LN(Balance!DA149)</f>
        <v>16.713521562372712</v>
      </c>
      <c r="H149" s="9">
        <f>(Balance!GC149-Balance!FC149-Balance!ES149-Balance!EC149-Balance!DU149)/Balance!DA149</f>
        <v>5.7452867132836288E-2</v>
      </c>
      <c r="I149" s="9">
        <f>'Profit and loss'!Z149/'Profit and loss'!P149</f>
        <v>0.31296256582159671</v>
      </c>
      <c r="J149" s="9">
        <f>'Profit and loss'!P149/Balance!AY149</f>
        <v>1.2208989623425408</v>
      </c>
      <c r="K149" s="9">
        <f>LN(Balance!DQ149)</f>
        <v>15.885461581810731</v>
      </c>
      <c r="L149" s="9">
        <f>Balance!AW149/Balance!DA149</f>
        <v>2.7642798973846833E-2</v>
      </c>
      <c r="M149" s="22">
        <f>'Profit and loss'!P149/Balance!DA149</f>
        <v>0.45428882503411477</v>
      </c>
      <c r="N149" s="9">
        <f>'Profit and loss'!AI149/(Balance!EK149+Balance!FU149)*100</f>
        <v>22.440112430664826</v>
      </c>
      <c r="O149" s="9">
        <f>(Balance!DS149-Balance!DU149+Balance!EQ149-Balance!ES149)/'Profit and loss'!Z149</f>
        <v>0.40409851933084862</v>
      </c>
    </row>
    <row r="150" spans="1:15" x14ac:dyDescent="0.25">
      <c r="A150" s="9">
        <v>39</v>
      </c>
      <c r="B150" s="1" t="s">
        <v>153</v>
      </c>
      <c r="C150" s="9">
        <v>2021</v>
      </c>
      <c r="D150" s="9">
        <f>'Profit and loss'!AU150/Balance!DQ150</f>
        <v>0.91473018251266258</v>
      </c>
      <c r="E150" s="22">
        <f>(Balance!DS150-Balance!DU150+Balance!EQ150-Balance!ES150)/Balance!DQ150</f>
        <v>6.5280084742913624</v>
      </c>
      <c r="F150" s="9">
        <f>Balance!CY150/Balance!EQ150</f>
        <v>3.5471657669024248</v>
      </c>
      <c r="G150" s="9">
        <f>LN(Balance!DA150)</f>
        <v>20.09038534120992</v>
      </c>
      <c r="H150" s="9">
        <f>(Balance!GC150-Balance!FC150-Balance!ES150-Balance!EC150-Balance!DU150)/Balance!DA150</f>
        <v>0.7897742943790067</v>
      </c>
      <c r="I150" s="9">
        <f>'Profit and loss'!Z150/'Profit and loss'!P150</f>
        <v>0.27374761253169588</v>
      </c>
      <c r="J150" s="9">
        <f>'Profit and loss'!P150/Balance!AY150</f>
        <v>4.6442860002510411</v>
      </c>
      <c r="K150" s="9">
        <f>LN(Balance!DQ150)</f>
        <v>17.978275347744084</v>
      </c>
      <c r="L150" s="9">
        <f>Balance!AW150/Balance!DA150</f>
        <v>0.68343928936977882</v>
      </c>
      <c r="M150" s="22">
        <f>'Profit and loss'!P150/Balance!DA150</f>
        <v>0.55103913140642446</v>
      </c>
      <c r="N150" s="9">
        <f>'Profit and loss'!AI150/(Balance!EK150+Balance!FU150)*100</f>
        <v>3.2427479732709825</v>
      </c>
      <c r="O150" s="9">
        <f>(Balance!DS150-Balance!DU150+Balance!EQ150-Balance!ES150)/'Profit and loss'!Z150</f>
        <v>5.2356452572675227</v>
      </c>
    </row>
    <row r="151" spans="1:15" x14ac:dyDescent="0.25">
      <c r="A151" s="9">
        <v>39</v>
      </c>
      <c r="B151" s="1" t="s">
        <v>153</v>
      </c>
      <c r="C151" s="9">
        <v>2020</v>
      </c>
      <c r="D151" s="9">
        <f>'Profit and loss'!AU151/Balance!DQ151</f>
        <v>-7.670848246126365</v>
      </c>
      <c r="E151" s="22">
        <f>(Balance!DS151-Balance!DU151+Balance!EQ151-Balance!ES151)/Balance!DQ151</f>
        <v>98.997632099127671</v>
      </c>
      <c r="F151" s="9">
        <f>Balance!CY151/Balance!EQ151</f>
        <v>3.1691713481119526</v>
      </c>
      <c r="G151" s="9">
        <f>LN(Balance!DA151)</f>
        <v>19.676948224465697</v>
      </c>
      <c r="H151" s="9">
        <f>(Balance!GC151-Balance!FC151-Balance!ES151-Balance!EC151-Balance!DU151)/Balance!DA151</f>
        <v>0.91576063007214525</v>
      </c>
      <c r="I151" s="9">
        <f>'Profit and loss'!Z151/'Profit and loss'!P151</f>
        <v>0</v>
      </c>
      <c r="J151" s="9">
        <f>'Profit and loss'!P151/Balance!AY151</f>
        <v>0.16714285188775296</v>
      </c>
      <c r="K151" s="9">
        <f>LN(Balance!DQ151)</f>
        <v>14.994597153461296</v>
      </c>
      <c r="L151" s="9">
        <f>Balance!AW151/Balance!DA151</f>
        <v>0.76236873116168846</v>
      </c>
      <c r="M151" s="22">
        <f>'Profit and loss'!P151/Balance!DA151</f>
        <v>9.184949052473728E-3</v>
      </c>
      <c r="N151" s="9">
        <f>'Profit and loss'!AI151/(Balance!EK151+Balance!FU151)*100</f>
        <v>0</v>
      </c>
      <c r="O151" s="9" t="e">
        <f>(Balance!DS151-Balance!DU151+Balance!EQ151-Balance!ES151)/'Profit and loss'!Z151</f>
        <v>#DIV/0!</v>
      </c>
    </row>
    <row r="152" spans="1:15" x14ac:dyDescent="0.25">
      <c r="A152" s="9">
        <v>39</v>
      </c>
      <c r="B152" s="1" t="s">
        <v>153</v>
      </c>
      <c r="C152" s="9">
        <v>2019</v>
      </c>
      <c r="D152" s="9">
        <f>'Profit and loss'!AU152/Balance!DQ152</f>
        <v>-4.4417279939833229E-2</v>
      </c>
      <c r="E152" s="22">
        <f>(Balance!DS152-Balance!DU152+Balance!EQ152-Balance!ES152)/Balance!DQ152</f>
        <v>1.6965015998704271</v>
      </c>
      <c r="F152" s="9">
        <f>Balance!CY152/Balance!EQ152</f>
        <v>7.98540493411189</v>
      </c>
      <c r="G152" s="9">
        <f>LN(Balance!DA152)</f>
        <v>18.231500419495216</v>
      </c>
      <c r="H152" s="9">
        <f>(Balance!GC152-Balance!FC152-Balance!ES152-Balance!EC152-Balance!DU152)/Balance!DA152</f>
        <v>0.57437965727134688</v>
      </c>
      <c r="I152" s="9">
        <f>'Profit and loss'!Z152/'Profit and loss'!P152</f>
        <v>6.4497705773504513E-2</v>
      </c>
      <c r="J152" s="9">
        <f>'Profit and loss'!P152/Balance!AY152</f>
        <v>10.41521086930727</v>
      </c>
      <c r="K152" s="9">
        <f>LN(Balance!DQ152)</f>
        <v>17.222253136564049</v>
      </c>
      <c r="L152" s="9">
        <f>Balance!AW152/Balance!DA152</f>
        <v>0.51187530527414038</v>
      </c>
      <c r="M152" s="22">
        <f>'Profit and loss'!P152/Balance!DA152</f>
        <v>0.76148602542961907</v>
      </c>
      <c r="N152" s="9" t="e">
        <f>'Profit and loss'!AI152/(Balance!EK152+Balance!FU152)*100</f>
        <v>#DIV/0!</v>
      </c>
      <c r="O152" s="9">
        <f>(Balance!DS152-Balance!DU152+Balance!EQ152-Balance!ES152)/'Profit and loss'!Z152</f>
        <v>12.590342461473515</v>
      </c>
    </row>
    <row r="153" spans="1:15" x14ac:dyDescent="0.25">
      <c r="A153" s="9">
        <v>39</v>
      </c>
      <c r="B153" s="8" t="s">
        <v>153</v>
      </c>
      <c r="C153" s="9">
        <v>2018</v>
      </c>
      <c r="D153" s="9">
        <f>'Profit and loss'!AU153/Balance!DQ153</f>
        <v>4.0124732510503379E-2</v>
      </c>
      <c r="E153" s="22">
        <f>(Balance!DS153-Balance!DU153+Balance!EQ153-Balance!ES153)/Balance!DQ153</f>
        <v>0</v>
      </c>
      <c r="F153" s="9">
        <f>Balance!CY153/Balance!EQ153</f>
        <v>1.4806640986735944</v>
      </c>
      <c r="G153" s="9">
        <f>LN(Balance!DA153)</f>
        <v>16.966730174755682</v>
      </c>
      <c r="H153" s="9">
        <f>(Balance!GC153-Balance!FC153-Balance!ES153-Balance!EC153-Balance!DU153)/Balance!DA153</f>
        <v>0</v>
      </c>
      <c r="I153" s="9">
        <f>'Profit and loss'!Z153/'Profit and loss'!P153</f>
        <v>5.3420808028849673E-2</v>
      </c>
      <c r="J153" s="9">
        <f>'Profit and loss'!P153/Balance!AY153</f>
        <v>9.6529530315949685</v>
      </c>
      <c r="K153" s="9">
        <f>LN(Balance!DQ153)</f>
        <v>16.350358613750362</v>
      </c>
      <c r="L153" s="9">
        <f>Balance!AW153/Balance!DA153</f>
        <v>0.31874627293159552</v>
      </c>
      <c r="M153" s="22">
        <f>'Profit and loss'!P153/Balance!DA153</f>
        <v>2.8839001901299759</v>
      </c>
      <c r="N153" s="9" t="e">
        <f>'Profit and loss'!AI153/(Balance!EK153+Balance!FU153)*100</f>
        <v>#DIV/0!</v>
      </c>
      <c r="O153" s="9">
        <f>(Balance!DS153-Balance!DU153+Balance!EQ153-Balance!ES153)/'Profit and loss'!Z153</f>
        <v>0</v>
      </c>
    </row>
    <row r="154" spans="1:15" s="22" customFormat="1" x14ac:dyDescent="0.25">
      <c r="A154" s="22">
        <v>40</v>
      </c>
      <c r="B154" s="2" t="s">
        <v>154</v>
      </c>
      <c r="C154" s="22">
        <v>2021</v>
      </c>
      <c r="D154" s="22">
        <f>'Profit and loss'!AU154/Balance!DQ154</f>
        <v>0.18803362897251938</v>
      </c>
      <c r="E154" s="22">
        <f>(Balance!DS154-Balance!DU154+Balance!EQ154-Balance!ES154)/Balance!DQ154</f>
        <v>17.271824005911576</v>
      </c>
      <c r="F154" s="22">
        <f>Balance!CY154/Balance!EQ154</f>
        <v>0.98028971432136969</v>
      </c>
      <c r="G154" s="22">
        <f>LN(Balance!DA154)</f>
        <v>17.770893861436846</v>
      </c>
      <c r="H154" s="22">
        <f>(Balance!GC154-Balance!FC154-Balance!ES154-Balance!EC154-Balance!DU154)/Balance!DA154</f>
        <v>0.91227971148297771</v>
      </c>
      <c r="I154" s="22">
        <f>'Profit and loss'!Z154/'Profit and loss'!P154</f>
        <v>1.7570433721395596E-2</v>
      </c>
      <c r="J154" s="22">
        <f>'Profit and loss'!P154/Balance!AY154</f>
        <v>2.6035772710530161</v>
      </c>
      <c r="K154" s="22">
        <f>LN(Balance!DQ154)</f>
        <v>14.830008723093197</v>
      </c>
      <c r="L154" s="22">
        <f>Balance!AW154/Balance!DA154</f>
        <v>7.148816492547426E-2</v>
      </c>
      <c r="M154" s="22">
        <f>'Profit and loss'!P154/Balance!DA154</f>
        <v>1.4154086363216913</v>
      </c>
      <c r="N154" s="22">
        <f>'Profit and loss'!AI154/(Balance!EK154+Balance!FU154)*100</f>
        <v>756.99566279914575</v>
      </c>
      <c r="O154" s="22">
        <f>(Balance!DS154-Balance!DU154+Balance!EQ154-Balance!ES154)/'Profit and loss'!Z154</f>
        <v>36.682902650707469</v>
      </c>
    </row>
    <row r="155" spans="1:15" s="22" customFormat="1" x14ac:dyDescent="0.25">
      <c r="A155" s="22">
        <v>40</v>
      </c>
      <c r="B155" s="2" t="s">
        <v>154</v>
      </c>
      <c r="C155" s="22">
        <v>2020</v>
      </c>
      <c r="D155" s="22">
        <f>'Profit and loss'!AU155/Balance!DQ155</f>
        <v>3.2644038078643618</v>
      </c>
      <c r="E155" s="22">
        <f>(Balance!DS155-Balance!DU155+Balance!EQ155-Balance!ES155)/Balance!DQ155</f>
        <v>23.465240109875904</v>
      </c>
      <c r="F155" s="22">
        <f>Balance!CY155/Balance!EQ155</f>
        <v>0.96798635714786452</v>
      </c>
      <c r="G155" s="22">
        <f>LN(Balance!DA155)</f>
        <v>17.755880194357921</v>
      </c>
      <c r="H155" s="22">
        <f>(Balance!GC155-Balance!FC155-Balance!ES155-Balance!EC155-Balance!DU155)/Balance!DA155</f>
        <v>0.91739299478741343</v>
      </c>
      <c r="I155" s="22">
        <f>'Profit and loss'!Z155/'Profit and loss'!P155</f>
        <v>0.10058818066857889</v>
      </c>
      <c r="J155" s="22">
        <f>'Profit and loss'!P155/Balance!AY155</f>
        <v>2.4778185285076386</v>
      </c>
      <c r="K155" s="22">
        <f>LN(Balance!DQ155)</f>
        <v>14.514140679692641</v>
      </c>
      <c r="L155" s="22">
        <f>Balance!AW155/Balance!DA155</f>
        <v>6.9857871120803022E-2</v>
      </c>
      <c r="M155" s="22">
        <f>'Profit and loss'!P155/Balance!DA155</f>
        <v>1.5881349155193074</v>
      </c>
      <c r="N155" s="22" t="e">
        <f>'Profit and loss'!AI155/(Balance!EK155+Balance!FU155)*100</f>
        <v>#DIV/0!</v>
      </c>
      <c r="O155" s="22">
        <f>(Balance!DS155-Balance!DU155+Balance!EQ155-Balance!ES155)/'Profit and loss'!Z155</f>
        <v>5.7427653648791805</v>
      </c>
    </row>
    <row r="156" spans="1:15" s="22" customFormat="1" x14ac:dyDescent="0.25">
      <c r="A156" s="22">
        <v>40</v>
      </c>
      <c r="B156" s="2" t="s">
        <v>154</v>
      </c>
      <c r="C156" s="22">
        <v>2019</v>
      </c>
      <c r="D156" s="22">
        <f>'Profit and loss'!AU156/Balance!DQ156</f>
        <v>-1.4660695437550515</v>
      </c>
      <c r="E156" s="22">
        <f>(Balance!DS156-Balance!DU156+Balance!EQ156-Balance!ES156)/Balance!DQ156</f>
        <v>-11.607185368860518</v>
      </c>
      <c r="F156" s="22">
        <f>Balance!CY156/Balance!EQ156</f>
        <v>0.89066809953053649</v>
      </c>
      <c r="G156" s="22">
        <f>LN(Balance!DA156)</f>
        <v>17.816156872188309</v>
      </c>
      <c r="H156" s="22">
        <f>(Balance!GC156-Balance!FC156-Balance!ES156-Balance!EC156-Balance!DU156)/Balance!DA156</f>
        <v>0.83513111171143528</v>
      </c>
      <c r="I156" s="22">
        <f>'Profit and loss'!Z156/'Profit and loss'!P156</f>
        <v>0.1027413568437318</v>
      </c>
      <c r="J156" s="22">
        <f>'Profit and loss'!P156/Balance!AY156</f>
        <v>1.9426365843311555</v>
      </c>
      <c r="K156" s="22" t="e">
        <f>LN(Balance!DQ156)</f>
        <v>#NUM!</v>
      </c>
      <c r="L156" s="22">
        <f>Balance!AW156/Balance!DA156</f>
        <v>4.5248781566032924E-2</v>
      </c>
      <c r="M156" s="22">
        <f>'Profit and loss'!P156/Balance!DA156</f>
        <v>1.2565939594990607</v>
      </c>
      <c r="N156" s="22">
        <f>'Profit and loss'!AI156/(Balance!EK156+Balance!FU156)*100</f>
        <v>23.545696592241359</v>
      </c>
      <c r="O156" s="22">
        <f>(Balance!DS156-Balance!DU156+Balance!EQ156-Balance!ES156)/'Profit and loss'!Z156</f>
        <v>6.468661097914965</v>
      </c>
    </row>
    <row r="157" spans="1:15" s="22" customFormat="1" x14ac:dyDescent="0.25">
      <c r="A157" s="22">
        <v>40</v>
      </c>
      <c r="B157" s="20" t="s">
        <v>154</v>
      </c>
      <c r="C157" s="22">
        <v>2018</v>
      </c>
      <c r="D157" s="22">
        <f>'Profit and loss'!AU157/Balance!DQ157</f>
        <v>-0.17246387306450026</v>
      </c>
      <c r="E157" s="22">
        <f>(Balance!DS157-Balance!DU157+Balance!EQ157-Balance!ES157)/Balance!DQ157</f>
        <v>-2.5555299941190333</v>
      </c>
      <c r="F157" s="22">
        <f>Balance!CY157/Balance!EQ157</f>
        <v>0.67084639909986488</v>
      </c>
      <c r="G157" s="22">
        <f>LN(Balance!DA157)</f>
        <v>17.2143015799974</v>
      </c>
      <c r="H157" s="22">
        <f>(Balance!GC157-Balance!FC157-Balance!ES157-Balance!EC157-Balance!DU157)/Balance!DA157</f>
        <v>0.82660351399243037</v>
      </c>
      <c r="I157" s="22">
        <f>'Profit and loss'!Z157/'Profit and loss'!P157</f>
        <v>5.0340474008704214E-2</v>
      </c>
      <c r="J157" s="22">
        <f>'Profit and loss'!P157/Balance!AY157</f>
        <v>2.6511455979082048</v>
      </c>
      <c r="K157" s="22" t="e">
        <f>LN(Balance!DQ157)</f>
        <v>#NUM!</v>
      </c>
      <c r="L157" s="22">
        <f>Balance!AW157/Balance!DA157</f>
        <v>0.11216378191103044</v>
      </c>
      <c r="M157" s="22">
        <f>'Profit and loss'!P157/Balance!DA157</f>
        <v>1.4249430030096335</v>
      </c>
      <c r="N157" s="22">
        <f>'Profit and loss'!AI157/(Balance!EK157+Balance!FU157)*100</f>
        <v>19.767292999707728</v>
      </c>
      <c r="O157" s="22">
        <f>(Balance!DS157-Balance!DU157+Balance!EQ157-Balance!ES157)/'Profit and loss'!Z157</f>
        <v>11.523448188161247</v>
      </c>
    </row>
    <row r="158" spans="1:15" x14ac:dyDescent="0.25">
      <c r="A158" s="9">
        <v>41</v>
      </c>
      <c r="B158" s="1" t="s">
        <v>155</v>
      </c>
      <c r="C158" s="9">
        <v>2021</v>
      </c>
      <c r="D158" s="9">
        <f>'Profit and loss'!AU158/Balance!DQ158</f>
        <v>1.4629071756304651E-2</v>
      </c>
      <c r="E158" s="22">
        <f>(Balance!DS158-Balance!DU158+Balance!EQ158-Balance!ES158)/Balance!DQ158</f>
        <v>0</v>
      </c>
      <c r="F158" s="9">
        <f>Balance!CY158/Balance!EQ158</f>
        <v>1.3200149638946213</v>
      </c>
      <c r="G158" s="9">
        <f>LN(Balance!DA158)</f>
        <v>18.315118674650634</v>
      </c>
      <c r="H158" s="9">
        <f>(Balance!GC158-Balance!FC158-Balance!ES158-Balance!EC158-Balance!DU158)/Balance!DA158</f>
        <v>0</v>
      </c>
      <c r="I158" s="9">
        <f>'Profit and loss'!Z158/'Profit and loss'!P158</f>
        <v>3.1965489431270075E-2</v>
      </c>
      <c r="J158" s="9">
        <f>'Profit and loss'!P158/Balance!AY158</f>
        <v>0.65687932268073468</v>
      </c>
      <c r="K158" s="9">
        <f>LN(Balance!DQ158)</f>
        <v>17.296323940889117</v>
      </c>
      <c r="L158" s="9">
        <f>Balance!AW158/Balance!DA158</f>
        <v>0.15654979444635186</v>
      </c>
      <c r="M158" s="22">
        <f>'Profit and loss'!P158/Balance!DA158</f>
        <v>0.2277532776550012</v>
      </c>
      <c r="N158" s="9" t="e">
        <f>'Profit and loss'!AI158/(Balance!EK158+Balance!FU158)*100</f>
        <v>#DIV/0!</v>
      </c>
      <c r="O158" s="9">
        <f>(Balance!DS158-Balance!DU158+Balance!EQ158-Balance!ES158)/'Profit and loss'!Z158</f>
        <v>0</v>
      </c>
    </row>
    <row r="159" spans="1:15" x14ac:dyDescent="0.25">
      <c r="A159" s="9">
        <v>41</v>
      </c>
      <c r="B159" s="1" t="s">
        <v>155</v>
      </c>
      <c r="C159" s="9">
        <v>2020</v>
      </c>
      <c r="D159" s="9">
        <f>'Profit and loss'!AU159/Balance!DQ159</f>
        <v>9.0040105188851222E-3</v>
      </c>
      <c r="E159" s="22">
        <f>(Balance!DS159-Balance!DU159+Balance!EQ159-Balance!ES159)/Balance!DQ159</f>
        <v>0</v>
      </c>
      <c r="F159" s="9">
        <f>Balance!CY159/Balance!EQ159</f>
        <v>1.3535409055520933</v>
      </c>
      <c r="G159" s="9">
        <f>LN(Balance!DA159)</f>
        <v>18.295836582118472</v>
      </c>
      <c r="H159" s="9">
        <f>(Balance!GC159-Balance!FC159-Balance!ES159-Balance!EC159-Balance!DU159)/Balance!DA159</f>
        <v>0</v>
      </c>
      <c r="I159" s="9">
        <f>'Profit and loss'!Z159/'Profit and loss'!P159</f>
        <v>2.444210070784501E-2</v>
      </c>
      <c r="J159" s="9">
        <f>'Profit and loss'!P159/Balance!AY159</f>
        <v>0.51543709430642426</v>
      </c>
      <c r="K159" s="9">
        <f>LN(Balance!DQ159)</f>
        <v>17.288338440619398</v>
      </c>
      <c r="L159" s="9">
        <f>Balance!AW159/Balance!DA159</f>
        <v>0.14067930546648508</v>
      </c>
      <c r="M159" s="22">
        <f>'Profit and loss'!P159/Balance!DA159</f>
        <v>0.14325949030495569</v>
      </c>
      <c r="N159" s="9" t="e">
        <f>'Profit and loss'!AI159/(Balance!EK159+Balance!FU159)*100</f>
        <v>#DIV/0!</v>
      </c>
      <c r="O159" s="9">
        <f>(Balance!DS159-Balance!DU159+Balance!EQ159-Balance!ES159)/'Profit and loss'!Z159</f>
        <v>0</v>
      </c>
    </row>
    <row r="160" spans="1:15" x14ac:dyDescent="0.25">
      <c r="A160" s="9">
        <v>41</v>
      </c>
      <c r="B160" s="1" t="s">
        <v>155</v>
      </c>
      <c r="C160" s="9">
        <v>2019</v>
      </c>
      <c r="D160" s="9">
        <f>'Profit and loss'!AU160/Balance!DQ160</f>
        <v>-0.24301214521261116</v>
      </c>
      <c r="E160" s="22">
        <f>(Balance!DS160-Balance!DU160+Balance!EQ160-Balance!ES160)/Balance!DQ160</f>
        <v>0</v>
      </c>
      <c r="F160" s="9">
        <f>Balance!CY160/Balance!EQ160</f>
        <v>1.3220673539641303</v>
      </c>
      <c r="G160" s="9">
        <f>LN(Balance!DA160)</f>
        <v>18.304647038575176</v>
      </c>
      <c r="H160" s="9">
        <f>(Balance!GC160-Balance!FC160-Balance!ES160-Balance!EC160-Balance!DU160)/Balance!DA160</f>
        <v>0</v>
      </c>
      <c r="I160" s="9">
        <f>'Profit and loss'!Z160/'Profit and loss'!P160</f>
        <v>0</v>
      </c>
      <c r="J160" s="9">
        <f>'Profit and loss'!P160/Balance!AY160</f>
        <v>1.5693176047070407</v>
      </c>
      <c r="K160" s="9">
        <f>LN(Balance!DQ160)</f>
        <v>17.25264924292695</v>
      </c>
      <c r="L160" s="9">
        <f>Balance!AW160/Balance!DA160</f>
        <v>0.13965057996100624</v>
      </c>
      <c r="M160" s="22">
        <f>'Profit and loss'!P160/Balance!DA160</f>
        <v>0.35470180652664751</v>
      </c>
      <c r="N160" s="9" t="e">
        <f>'Profit and loss'!AI160/(Balance!EK160+Balance!FU160)*100</f>
        <v>#DIV/0!</v>
      </c>
      <c r="O160" s="9" t="e">
        <f>(Balance!DS160-Balance!DU160+Balance!EQ160-Balance!ES160)/'Profit and loss'!Z160</f>
        <v>#DIV/0!</v>
      </c>
    </row>
    <row r="161" spans="1:15" x14ac:dyDescent="0.25">
      <c r="A161" s="9">
        <v>41</v>
      </c>
      <c r="B161" s="8" t="s">
        <v>155</v>
      </c>
      <c r="C161" s="9">
        <v>2018</v>
      </c>
      <c r="D161" s="9">
        <f>'Profit and loss'!AU161/Balance!DQ161</f>
        <v>0.13352692285827319</v>
      </c>
      <c r="E161" s="22">
        <f>(Balance!DS161-Balance!DU161+Balance!EQ161-Balance!ES161)/Balance!DQ161</f>
        <v>0</v>
      </c>
      <c r="F161" s="9">
        <f>Balance!CY161/Balance!EQ161</f>
        <v>1.5872869129368565</v>
      </c>
      <c r="G161" s="9">
        <f>LN(Balance!DA161)</f>
        <v>18.372641622679598</v>
      </c>
      <c r="H161" s="9">
        <f>(Balance!GC161-Balance!FC161-Balance!ES161-Balance!EC161-Balance!DU161)/Balance!DA161</f>
        <v>0</v>
      </c>
      <c r="I161" s="9">
        <f>'Profit and loss'!Z161/'Profit and loss'!P161</f>
        <v>8.4013231198066182E-2</v>
      </c>
      <c r="J161" s="9">
        <f>'Profit and loss'!P161/Balance!AY161</f>
        <v>4.0737336919859253</v>
      </c>
      <c r="K161" s="9">
        <f>LN(Balance!DQ161)</f>
        <v>17.578955825835038</v>
      </c>
      <c r="L161" s="9">
        <f>Balance!AW161/Balance!DA161</f>
        <v>0.13068130037199802</v>
      </c>
      <c r="M161" s="22">
        <f>'Profit and loss'!P161/Balance!DA161</f>
        <v>0.84325985878659715</v>
      </c>
      <c r="N161" s="9" t="e">
        <f>'Profit and loss'!AI161/(Balance!EK161+Balance!FU161)*100</f>
        <v>#DIV/0!</v>
      </c>
      <c r="O161" s="9">
        <f>(Balance!DS161-Balance!DU161+Balance!EQ161-Balance!ES161)/'Profit and loss'!Z161</f>
        <v>0</v>
      </c>
    </row>
    <row r="162" spans="1:15" s="22" customFormat="1" x14ac:dyDescent="0.25">
      <c r="B162" s="2" t="s">
        <v>164</v>
      </c>
      <c r="C162" s="22">
        <v>2021</v>
      </c>
      <c r="D162" s="22">
        <f>'Profit and loss'!AU162/Balance!DQ162</f>
        <v>1.5454395588534561E-2</v>
      </c>
      <c r="E162" s="22">
        <f>(Balance!DS162-Balance!DU162+Balance!EQ162-Balance!ES162)/Balance!DQ162</f>
        <v>3.3464511240633996</v>
      </c>
      <c r="F162" s="22">
        <f>Balance!CY162/Balance!EQ162</f>
        <v>1.0816597158199388</v>
      </c>
      <c r="G162" s="22">
        <f>LN(Balance!DA162)</f>
        <v>17.435940144923432</v>
      </c>
      <c r="H162" s="22">
        <f>(Balance!GC162-Balance!FC162-Balance!ES162-Balance!EC162-Balance!DU162)/Balance!DA162</f>
        <v>0.75104179352298761</v>
      </c>
      <c r="I162" s="22">
        <f>'Profit and loss'!Z162/'Profit and loss'!P162</f>
        <v>2.1507983695534211E-2</v>
      </c>
      <c r="J162" s="22">
        <f>'Profit and loss'!P162/Balance!AY162</f>
        <v>2.3636409083108179</v>
      </c>
      <c r="K162" s="22">
        <f>LN(Balance!DQ162)</f>
        <v>15.94174574829262</v>
      </c>
      <c r="L162" s="22">
        <f>Balance!AW162/Balance!DA162</f>
        <v>0.36854391400071068</v>
      </c>
      <c r="M162" s="22">
        <f>'Profit and loss'!P162/Balance!DA162</f>
        <v>1.3505723717045723</v>
      </c>
      <c r="N162" s="22">
        <f>'Profit and loss'!AI162/(Balance!EK162+Balance!FU162)*100</f>
        <v>28.151059588291528</v>
      </c>
      <c r="O162" s="22">
        <f>(Balance!DS162-Balance!DU162+Balance!EQ162-Balance!ES162)/'Profit and loss'!Z162</f>
        <v>25.855119252459101</v>
      </c>
    </row>
    <row r="163" spans="1:15" s="22" customFormat="1" x14ac:dyDescent="0.25">
      <c r="B163" s="2" t="s">
        <v>164</v>
      </c>
      <c r="C163" s="22">
        <v>2020</v>
      </c>
      <c r="D163" s="22">
        <f>'Profit and loss'!AU163/Balance!DQ163</f>
        <v>0.11584348086148573</v>
      </c>
      <c r="E163" s="22">
        <f>(Balance!DS163-Balance!DU163+Balance!EQ163-Balance!ES163)/Balance!DQ163</f>
        <v>3.1945199980061942</v>
      </c>
      <c r="F163" s="22">
        <f>Balance!CY163/Balance!EQ163</f>
        <v>1.1905520927900999</v>
      </c>
      <c r="G163" s="22">
        <f>LN(Balance!DA163)</f>
        <v>17.587308181645824</v>
      </c>
      <c r="H163" s="22">
        <f>(Balance!GC163-Balance!FC163-Balance!ES163-Balance!EC163-Balance!DU163)/Balance!DA163</f>
        <v>0.65477914413040827</v>
      </c>
      <c r="I163" s="22">
        <f>'Profit and loss'!Z163/'Profit and loss'!P163</f>
        <v>6.5319720513955237E-2</v>
      </c>
      <c r="J163" s="22">
        <f>'Profit and loss'!P163/Balance!AY163</f>
        <v>2.8284445637331093</v>
      </c>
      <c r="K163" s="22">
        <f>LN(Balance!DQ163)</f>
        <v>16.002414055728511</v>
      </c>
      <c r="L163" s="22">
        <f>Balance!AW163/Balance!DA163</f>
        <v>0.36660293787241027</v>
      </c>
      <c r="M163" s="22">
        <f>'Profit and loss'!P163/Balance!DA163</f>
        <v>1.3933515433572867</v>
      </c>
      <c r="N163" s="22">
        <f>'Profit and loss'!AI163/(Balance!EK163+Balance!FU163)*100</f>
        <v>21.94008744913258</v>
      </c>
      <c r="O163" s="22">
        <f>(Balance!DS163-Balance!DU163+Balance!EQ163-Balance!ES163)/'Profit and loss'!Z163</f>
        <v>7.194321092780565</v>
      </c>
    </row>
    <row r="164" spans="1:15" s="22" customFormat="1" x14ac:dyDescent="0.25">
      <c r="B164" s="2" t="s">
        <v>164</v>
      </c>
      <c r="C164" s="22">
        <v>2019</v>
      </c>
      <c r="D164" s="22">
        <f>'Profit and loss'!AU164/Balance!DQ164</f>
        <v>0.30752891608836819</v>
      </c>
      <c r="E164" s="22">
        <f>(Balance!DS164-Balance!DU164+Balance!EQ164-Balance!ES164)/Balance!DQ164</f>
        <v>6.5030394183823201</v>
      </c>
      <c r="F164" s="22">
        <f>Balance!CY164/Balance!EQ164</f>
        <v>1.086404424155935</v>
      </c>
      <c r="G164" s="22">
        <f>LN(Balance!DA164)</f>
        <v>17.651055591159718</v>
      </c>
      <c r="H164" s="22">
        <f>(Balance!GC164-Balance!FC164-Balance!ES164-Balance!EC164-Balance!DU164)/Balance!DA164</f>
        <v>0.80381580937585728</v>
      </c>
      <c r="I164" s="22">
        <f>'Profit and loss'!Z164/'Profit and loss'!P164</f>
        <v>9.4189056963289497E-2</v>
      </c>
      <c r="J164" s="22">
        <f>'Profit and loss'!P164/Balance!AY164</f>
        <v>1.8107130255911776</v>
      </c>
      <c r="K164" s="22">
        <f>LN(Balance!DQ164)</f>
        <v>15.560400791857175</v>
      </c>
      <c r="L164" s="22">
        <f>Balance!AW164/Balance!DA164</f>
        <v>0.32833687395055805</v>
      </c>
      <c r="M164" s="22">
        <f>'Profit and loss'!P164/Balance!DA164</f>
        <v>0.97743892278762956</v>
      </c>
      <c r="N164" s="22">
        <f>'Profit and loss'!AI164/(Balance!EK164+Balance!FU164)*100</f>
        <v>12.012281285332303</v>
      </c>
      <c r="O164" s="22">
        <f>(Balance!DS164-Balance!DU164+Balance!EQ164-Balance!ES164)/'Profit and loss'!Z164</f>
        <v>8.7310498081272261</v>
      </c>
    </row>
    <row r="165" spans="1:15" s="22" customFormat="1" x14ac:dyDescent="0.25">
      <c r="B165" s="2" t="s">
        <v>164</v>
      </c>
      <c r="C165" s="22">
        <v>2018</v>
      </c>
      <c r="D165" s="22">
        <f>'Profit and loss'!AU165/Balance!DQ165</f>
        <v>0.1347590867722348</v>
      </c>
      <c r="E165" s="22">
        <f>(Balance!DS165-Balance!DU165+Balance!EQ165-Balance!ES165)/Balance!DQ165</f>
        <v>3.1314428328345851</v>
      </c>
      <c r="F165" s="22">
        <f>Balance!CY165/Balance!EQ165</f>
        <v>1.0609274996011862</v>
      </c>
      <c r="G165" s="22">
        <f>LN(Balance!DA165)</f>
        <v>16.973236588136903</v>
      </c>
      <c r="H165" s="22">
        <f>(Balance!GC165-Balance!FC165-Balance!ES165-Balance!EC165-Balance!DU165)/Balance!DA165</f>
        <v>0.64199998996473118</v>
      </c>
      <c r="I165" s="22">
        <f>'Profit and loss'!Z165/'Profit and loss'!P165</f>
        <v>5.7596562866982323E-2</v>
      </c>
      <c r="J165" s="22">
        <f>'Profit and loss'!P165/Balance!AY165</f>
        <v>4.3278178104538929</v>
      </c>
      <c r="K165" s="22">
        <f>LN(Balance!DQ165)</f>
        <v>15.388575729918218</v>
      </c>
      <c r="L165" s="22">
        <f>Balance!AW165/Balance!DA165</f>
        <v>0.20251670085603396</v>
      </c>
      <c r="M165" s="22">
        <f>'Profit and loss'!P165/Balance!DA165</f>
        <v>1.5352081029863514</v>
      </c>
      <c r="N165" s="22">
        <f>'Profit and loss'!AI165/(Balance!EK165+Balance!FU165)*100</f>
        <v>14.61988131317757</v>
      </c>
      <c r="O165" s="22">
        <f>(Balance!DS165-Balance!DU165+Balance!EQ165-Balance!ES165)/'Profit and loss'!Z165</f>
        <v>7.260578078157506</v>
      </c>
    </row>
    <row r="166" spans="1:15" s="22" customFormat="1" x14ac:dyDescent="0.25">
      <c r="B166" s="21" t="s">
        <v>165</v>
      </c>
      <c r="E166" s="22">
        <f>(Balance!DS166-Balance!DU166+Balance!EQ166-Balance!ES166)/Balance!DQ166</f>
        <v>0.41802916947844426</v>
      </c>
      <c r="F166" s="22">
        <f>Balance!CY166/Balance!EQ166</f>
        <v>1.4957994353516539</v>
      </c>
      <c r="G166" s="22">
        <f>LN(Balance!DA166)</f>
        <v>15.457684302086451</v>
      </c>
      <c r="H166" s="22">
        <f>(Balance!GC166-Balance!FC166-Balance!ES166-Balance!EC166-Balance!DU166)/Balance!DA166</f>
        <v>0.21615860646246662</v>
      </c>
      <c r="I166" s="22">
        <f>'Profit and loss'!Z166/'Profit and loss'!P166</f>
        <v>8.573498177632892E-2</v>
      </c>
      <c r="J166" s="22">
        <f>'Profit and loss'!P166/Balance!AY166</f>
        <v>30.410771665848326</v>
      </c>
      <c r="K166" s="22">
        <f>LN(Balance!DQ166)</f>
        <v>14.798145515959042</v>
      </c>
      <c r="L166" s="22">
        <f>Balance!AW166/Balance!DA166</f>
        <v>0.27766314836316625</v>
      </c>
      <c r="M166" s="22">
        <f>'Profit and loss'!P166/Balance!DA166</f>
        <v>1.3553887821644173</v>
      </c>
      <c r="N166" s="22" t="e">
        <f>'Profit and loss'!AI166/(Balance!EK166+Balance!FU166)*100</f>
        <v>#DIV/0!</v>
      </c>
      <c r="O166" s="22">
        <f>(Balance!DS166-Balance!DU166+Balance!EQ166-Balance!ES166)/'Profit and loss'!Z166</f>
        <v>1.8601612156464735</v>
      </c>
    </row>
    <row r="167" spans="1:15" s="22" customFormat="1" x14ac:dyDescent="0.25">
      <c r="B167" s="21" t="s">
        <v>165</v>
      </c>
      <c r="E167" s="22">
        <f>(Balance!DS167-Balance!DU167+Balance!EQ167-Balance!ES167)/Balance!DQ167</f>
        <v>0.47128371941982355</v>
      </c>
      <c r="F167" s="22">
        <f>Balance!CY167/Balance!EQ167</f>
        <v>1.2400489460519288</v>
      </c>
      <c r="G167" s="22">
        <f>LN(Balance!DA167)</f>
        <v>15.140318774701214</v>
      </c>
      <c r="H167" s="22">
        <f>(Balance!GC167-Balance!FC167-Balance!ES167-Balance!EC167-Balance!DU167)/Balance!DA167</f>
        <v>0.11893497369468317</v>
      </c>
      <c r="I167" s="22">
        <f>'Profit and loss'!Z167/'Profit and loss'!P167</f>
        <v>9.3817324380460042E-3</v>
      </c>
      <c r="J167" s="22">
        <f>'Profit and loss'!P167/Balance!AY167</f>
        <v>8.526413324544853</v>
      </c>
      <c r="K167" s="22">
        <f>LN(Balance!DQ167)</f>
        <v>13.763435389571839</v>
      </c>
      <c r="L167" s="22">
        <f>Balance!AW167/Balance!DA167</f>
        <v>7.2894579687445629E-2</v>
      </c>
      <c r="M167" s="22">
        <f>'Profit and loss'!P167/Balance!DA167</f>
        <v>1.8359886107108458</v>
      </c>
      <c r="N167" s="22" t="e">
        <f>'Profit and loss'!AI167/(Balance!EK167+Balance!FU167)*100</f>
        <v>#DIV/0!</v>
      </c>
      <c r="O167" s="22">
        <f>(Balance!DS167-Balance!DU167+Balance!EQ167-Balance!ES167)/'Profit and loss'!Z167</f>
        <v>6.9048866736049543</v>
      </c>
    </row>
    <row r="168" spans="1:15" s="22" customFormat="1" x14ac:dyDescent="0.25">
      <c r="B168" s="21" t="s">
        <v>165</v>
      </c>
      <c r="E168" s="22">
        <f>(Balance!DS168-Balance!DU168+Balance!EQ168-Balance!ES168)/Balance!DQ168</f>
        <v>10.051908167856835</v>
      </c>
      <c r="F168" s="22">
        <f>Balance!CY168/Balance!EQ168</f>
        <v>1.0595186521760387</v>
      </c>
      <c r="G168" s="22">
        <f>LN(Balance!DA168)</f>
        <v>16.040684234898631</v>
      </c>
      <c r="H168" s="22">
        <f>(Balance!GC168-Balance!FC168-Balance!ES168-Balance!EC168-Balance!DU168)/Balance!DA168</f>
        <v>0.90736061837954707</v>
      </c>
      <c r="I168" s="22">
        <f>'Profit and loss'!Z168/'Profit and loss'!P168</f>
        <v>0</v>
      </c>
      <c r="J168" s="22">
        <f>'Profit and loss'!P168/Balance!AY168</f>
        <v>3198.7497991076552</v>
      </c>
      <c r="K168" s="22">
        <f>LN(Balance!DQ168)</f>
        <v>13.635706437766101</v>
      </c>
      <c r="L168" s="22">
        <f>Balance!AW168/Balance!DA168</f>
        <v>3.6121447531327427E-2</v>
      </c>
      <c r="M168" s="22">
        <f>'Profit and loss'!P168/Balance!DA168</f>
        <v>0.90322414431480957</v>
      </c>
      <c r="N168" s="22">
        <f>'Profit and loss'!AI168/(Balance!EK168+Balance!FU168)*100</f>
        <v>0</v>
      </c>
      <c r="O168" s="22" t="e">
        <f>(Balance!DS168-Balance!DU168+Balance!EQ168-Balance!ES168)/'Profit and loss'!Z168</f>
        <v>#DIV/0!</v>
      </c>
    </row>
    <row r="169" spans="1:15" s="22" customFormat="1" x14ac:dyDescent="0.25">
      <c r="B169" s="21" t="s">
        <v>165</v>
      </c>
      <c r="E169" s="22">
        <f>(Balance!DS169-Balance!DU169+Balance!EQ169-Balance!ES169)/Balance!DQ169</f>
        <v>0.36657069822947719</v>
      </c>
      <c r="F169" s="22">
        <f>Balance!CY169/Balance!EQ169</f>
        <v>2.6636270935592057</v>
      </c>
      <c r="G169" s="22">
        <f>LN(Balance!DA169)</f>
        <v>14.299117522117834</v>
      </c>
      <c r="H169" s="22">
        <f>(Balance!GC169-Balance!FC169-Balance!ES169-Balance!EC169-Balance!DU169)/Balance!DA169</f>
        <v>0.26388574659674474</v>
      </c>
      <c r="I169" s="22">
        <f>'Profit and loss'!Z169/'Profit and loss'!P169</f>
        <v>0.24405889675795239</v>
      </c>
      <c r="J169" s="22">
        <f>'Profit and loss'!P169/Balance!AY169</f>
        <v>33.667909655118223</v>
      </c>
      <c r="K169" s="22">
        <f>LN(Balance!DQ169)</f>
        <v>13.970442349786969</v>
      </c>
      <c r="L169" s="22">
        <f>Balance!AW169/Balance!DA169</f>
        <v>0.2538562940496138</v>
      </c>
      <c r="M169" s="22">
        <f>'Profit and loss'!P169/Balance!DA169</f>
        <v>2.850442857930727</v>
      </c>
      <c r="N169" s="22" t="e">
        <f>'Profit and loss'!AI169/(Balance!EK169+Balance!FU169)*100</f>
        <v>#DIV/0!</v>
      </c>
      <c r="O169" s="22">
        <f>(Balance!DS169-Balance!DU169+Balance!EQ169-Balance!ES169)/'Profit and loss'!Z169</f>
        <v>0.37932280209157171</v>
      </c>
    </row>
  </sheetData>
  <pageMargins left="0.7" right="0.7" top="0.75" bottom="0.75" header="0.3" footer="0.3"/>
  <pageSetup paperSize="9" orientation="portrait" horizontalDpi="300" verticalDpi="0" copies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"/>
  <sheetViews>
    <sheetView zoomScale="115" zoomScaleNormal="115" workbookViewId="0">
      <selection activeCell="A5" sqref="A5"/>
    </sheetView>
  </sheetViews>
  <sheetFormatPr defaultRowHeight="15" x14ac:dyDescent="0.25"/>
  <cols>
    <col min="1" max="1" width="34.7109375" customWidth="1"/>
    <col min="2" max="2" width="9.7109375" customWidth="1"/>
    <col min="3" max="3" width="17.85546875" customWidth="1"/>
    <col min="7" max="7" width="9.140625" customWidth="1"/>
  </cols>
  <sheetData>
    <row r="1" spans="1:4" ht="30" x14ac:dyDescent="0.25">
      <c r="A1" s="16" t="s">
        <v>160</v>
      </c>
      <c r="B1" s="16" t="s">
        <v>161</v>
      </c>
      <c r="C1" s="16" t="s">
        <v>162</v>
      </c>
      <c r="D1" s="16" t="s">
        <v>163</v>
      </c>
    </row>
    <row r="2" spans="1:4" x14ac:dyDescent="0.25">
      <c r="A2" s="18" t="s">
        <v>112</v>
      </c>
      <c r="B2" s="17">
        <v>10.32</v>
      </c>
      <c r="C2" s="17">
        <v>0.48</v>
      </c>
      <c r="D2">
        <v>68</v>
      </c>
    </row>
    <row r="3" spans="1:4" x14ac:dyDescent="0.25">
      <c r="A3" s="1" t="s">
        <v>137</v>
      </c>
      <c r="B3" s="17">
        <v>18.600000000000001</v>
      </c>
      <c r="C3" s="17">
        <v>0.69</v>
      </c>
      <c r="D3" s="19">
        <v>0.25</v>
      </c>
    </row>
    <row r="4" spans="1:4" x14ac:dyDescent="0.25">
      <c r="A4" s="8" t="s">
        <v>114</v>
      </c>
      <c r="B4" s="17">
        <v>4.62</v>
      </c>
      <c r="C4" s="17">
        <v>0.34</v>
      </c>
      <c r="D4" s="19">
        <v>0.75</v>
      </c>
    </row>
    <row r="5" spans="1:4" x14ac:dyDescent="0.25">
      <c r="A5" s="1" t="s">
        <v>115</v>
      </c>
      <c r="B5" s="17">
        <v>2.19</v>
      </c>
      <c r="C5" s="17">
        <v>0.43</v>
      </c>
      <c r="D5" s="19">
        <v>0.06</v>
      </c>
    </row>
    <row r="6" spans="1:4" x14ac:dyDescent="0.25">
      <c r="A6" s="1"/>
      <c r="B6" s="17"/>
      <c r="C6" s="17"/>
      <c r="D6" s="19"/>
    </row>
    <row r="7" spans="1:4" x14ac:dyDescent="0.25">
      <c r="A7" s="17"/>
      <c r="B7" s="17"/>
      <c r="C7" s="17"/>
    </row>
    <row r="8" spans="1:4" x14ac:dyDescent="0.25">
      <c r="A8" s="17"/>
      <c r="B8" s="17"/>
      <c r="C8" s="17"/>
    </row>
    <row r="9" spans="1:4" x14ac:dyDescent="0.25">
      <c r="A9" s="17"/>
      <c r="B9" s="17"/>
      <c r="C9" s="17"/>
    </row>
    <row r="10" spans="1:4" x14ac:dyDescent="0.25">
      <c r="A10" s="17"/>
      <c r="B10" s="17"/>
      <c r="C10" s="17"/>
    </row>
    <row r="11" spans="1:4" x14ac:dyDescent="0.25">
      <c r="A11" s="17"/>
      <c r="B11" s="17"/>
      <c r="C11" s="17"/>
    </row>
    <row r="12" spans="1:4" x14ac:dyDescent="0.25">
      <c r="A12" s="17"/>
      <c r="B12" s="17"/>
      <c r="C12" s="17"/>
    </row>
    <row r="13" spans="1:4" x14ac:dyDescent="0.25">
      <c r="A13" s="17"/>
      <c r="B13" s="17"/>
      <c r="C13" s="17"/>
    </row>
    <row r="14" spans="1:4" x14ac:dyDescent="0.25">
      <c r="A14" s="17"/>
      <c r="B14" s="17"/>
      <c r="C14" s="17"/>
    </row>
    <row r="15" spans="1:4" x14ac:dyDescent="0.25">
      <c r="A15" s="17"/>
      <c r="B15" s="17"/>
      <c r="C15" s="17"/>
    </row>
    <row r="16" spans="1:4" x14ac:dyDescent="0.25">
      <c r="A16" s="17"/>
      <c r="B16" s="17"/>
      <c r="C16" s="17"/>
    </row>
    <row r="17" spans="1:3" x14ac:dyDescent="0.25">
      <c r="A17" s="17"/>
      <c r="B17" s="17"/>
      <c r="C17" s="17"/>
    </row>
    <row r="18" spans="1:3" x14ac:dyDescent="0.25">
      <c r="A18" s="17"/>
      <c r="B18" s="17"/>
      <c r="C18" s="1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activeCell="A5" sqref="A5"/>
    </sheetView>
  </sheetViews>
  <sheetFormatPr defaultRowHeight="15" x14ac:dyDescent="0.25"/>
  <cols>
    <col min="1" max="1" width="24.42578125" customWidth="1"/>
    <col min="2" max="2" width="20" customWidth="1"/>
  </cols>
  <sheetData>
    <row r="1" spans="1:2" x14ac:dyDescent="0.25">
      <c r="A1" s="2" t="s">
        <v>130</v>
      </c>
      <c r="B1" s="22">
        <v>2021</v>
      </c>
    </row>
    <row r="2" spans="1:2" x14ac:dyDescent="0.25">
      <c r="A2" s="2" t="s">
        <v>130</v>
      </c>
      <c r="B2" s="22">
        <v>2020</v>
      </c>
    </row>
    <row r="3" spans="1:2" x14ac:dyDescent="0.25">
      <c r="A3" s="2" t="s">
        <v>130</v>
      </c>
      <c r="B3" s="22">
        <v>2019</v>
      </c>
    </row>
    <row r="4" spans="1:2" x14ac:dyDescent="0.25">
      <c r="A4" s="20" t="s">
        <v>130</v>
      </c>
      <c r="B4" s="22"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Balance</vt:lpstr>
      <vt:lpstr>Profit and loss</vt:lpstr>
      <vt:lpstr>Results</vt:lpstr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Xamraev Amirzoda Xakimzoda ogli</dc:creator>
  <cp:lastModifiedBy>User</cp:lastModifiedBy>
  <dcterms:created xsi:type="dcterms:W3CDTF">2023-03-28T09:27:19Z</dcterms:created>
  <dcterms:modified xsi:type="dcterms:W3CDTF">2025-05-28T09:27:18Z</dcterms:modified>
</cp:coreProperties>
</file>