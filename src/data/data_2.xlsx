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jex\Desktop\"/>
    </mc:Choice>
  </mc:AlternateContent>
  <bookViews>
    <workbookView xWindow="0" yWindow="0" windowWidth="20490" windowHeight="7650"/>
  </bookViews>
  <sheets>
    <sheet name="Лист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4" i="1"/>
  <c r="D3" i="1"/>
  <c r="D4" i="1"/>
  <c r="D5" i="1"/>
  <c r="D41" i="1" l="1"/>
  <c r="D40" i="1"/>
  <c r="D39" i="1"/>
  <c r="D38" i="1"/>
</calcChain>
</file>

<file path=xl/sharedStrings.xml><?xml version="1.0" encoding="utf-8"?>
<sst xmlns="http://schemas.openxmlformats.org/spreadsheetml/2006/main" count="55" uniqueCount="25">
  <si>
    <t>id</t>
  </si>
  <si>
    <t>Name</t>
  </si>
  <si>
    <t>Year</t>
  </si>
  <si>
    <t>ROE</t>
  </si>
  <si>
    <t>DER</t>
  </si>
  <si>
    <t>LIQ</t>
  </si>
  <si>
    <t>lnTA</t>
  </si>
  <si>
    <t>DAR</t>
  </si>
  <si>
    <t>OPM</t>
  </si>
  <si>
    <t>INT</t>
  </si>
  <si>
    <t>lnEQ</t>
  </si>
  <si>
    <t>FATA</t>
  </si>
  <si>
    <t>ROA</t>
  </si>
  <si>
    <t>Cost of debt</t>
  </si>
  <si>
    <t xml:space="preserve">Debt burden </t>
  </si>
  <si>
    <t>"QONIRAT UN ZAVODI" AJ</t>
  </si>
  <si>
    <t>"BOG'OT DON" AJ</t>
  </si>
  <si>
    <t>"QASHQADARYODONMAHSULOTLARI" AJ</t>
  </si>
  <si>
    <t>"KOGONDONMAXSULOTLARI" AJ</t>
  </si>
  <si>
    <t>"SAMARQANDDONMAHSULOTLARI" AJ</t>
  </si>
  <si>
    <t>"QIZILTEPA UN ZAVODI" AJ</t>
  </si>
  <si>
    <t>"JUMA ELEVATORI" AJ</t>
  </si>
  <si>
    <t>"QUVA DON MAHSULOTLARI" AJ</t>
  </si>
  <si>
    <t>АО "SHOVOT DON MAHSULOTLARI"</t>
  </si>
  <si>
    <t>"BOSHLIQ DON MAHSULOTLARI" MCHJ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</si>
</sst>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Segoe UI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2" fontId="2" fillId="0" borderId="0" xfId="3" applyNumberFormat="1" applyFill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2" fillId="0" borderId="0" xfId="3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</cellXfs>
  <cellStyles count="5">
    <cellStyle name="Обычный" xfId="0" builtinId="0"/>
    <cellStyle name="Обычный 2" xfId="1"/>
    <cellStyle name="Обычный 2 4" xfId="3"/>
    <cellStyle name="Финансовый 2" xfId="4"/>
    <cellStyle name="Финансов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n%20mahsulotlari%20uchu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jex/Downloads/Telegram%20Desktop/foyda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Profit and loss"/>
      <sheetName val="Results"/>
      <sheetName val="Лист1"/>
      <sheetName val="Лист2"/>
    </sheetNames>
    <sheetDataSet>
      <sheetData sheetId="0">
        <row r="38">
          <cell r="DQ38">
            <v>8043030</v>
          </cell>
        </row>
        <row r="39">
          <cell r="DQ39">
            <v>7161640</v>
          </cell>
        </row>
        <row r="40">
          <cell r="DQ40">
            <v>5706176</v>
          </cell>
        </row>
        <row r="41">
          <cell r="DQ41">
            <v>5022020</v>
          </cell>
        </row>
      </sheetData>
      <sheetData sheetId="1">
        <row r="38">
          <cell r="AU38">
            <v>885909</v>
          </cell>
        </row>
        <row r="39">
          <cell r="AU39">
            <v>1405390</v>
          </cell>
        </row>
        <row r="40">
          <cell r="AU40">
            <v>657901</v>
          </cell>
        </row>
        <row r="41">
          <cell r="AU41">
            <v>1077698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Profit and loss"/>
      <sheetName val="Results"/>
      <sheetName val="Лист1"/>
    </sheetNames>
    <sheetDataSet>
      <sheetData sheetId="0">
        <row r="3">
          <cell r="DQ3">
            <v>-6751635</v>
          </cell>
        </row>
        <row r="4">
          <cell r="DQ4">
            <v>7431675</v>
          </cell>
        </row>
        <row r="5">
          <cell r="DQ5">
            <v>7114857</v>
          </cell>
        </row>
      </sheetData>
      <sheetData sheetId="1">
        <row r="3">
          <cell r="AU3">
            <v>-12453753</v>
          </cell>
        </row>
        <row r="4">
          <cell r="AU4">
            <v>2342361</v>
          </cell>
        </row>
        <row r="5">
          <cell r="AU5">
            <v>2063462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zoomScale="85" zoomScaleNormal="85" workbookViewId="0">
      <selection activeCell="I6" sqref="I6"/>
    </sheetView>
  </sheetViews>
  <sheetFormatPr defaultRowHeight="15" x14ac:dyDescent="0.25"/>
  <cols>
    <col min="1" max="1" width="9.140625" style="1"/>
    <col min="2" max="2" width="33.5703125" style="1" customWidth="1"/>
    <col min="3" max="3" width="9.140625" style="1"/>
    <col min="4" max="4" width="12.85546875" style="1" customWidth="1"/>
    <col min="5" max="8" width="9.140625" style="1"/>
    <col min="9" max="9" width="12.140625" style="1" customWidth="1"/>
    <col min="10" max="10" width="9.140625" style="1"/>
    <col min="11" max="11" width="18" style="1" customWidth="1"/>
    <col min="12" max="13" width="9.140625" style="1"/>
    <col min="14" max="14" width="20" style="1" customWidth="1"/>
    <col min="15" max="15" width="17.42578125" style="1" customWidth="1"/>
    <col min="16" max="16384" width="9.140625" style="1"/>
  </cols>
  <sheetData>
    <row r="1" spans="1:15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14</v>
      </c>
    </row>
    <row r="2" spans="1:15" x14ac:dyDescent="0.25">
      <c r="A2" s="1">
        <v>1</v>
      </c>
      <c r="B2" s="2" t="s">
        <v>15</v>
      </c>
      <c r="C2" s="3">
        <v>2024</v>
      </c>
      <c r="D2" s="3">
        <v>8.7882957396094405E-2</v>
      </c>
      <c r="E2" s="3">
        <v>20.082236782122902</v>
      </c>
      <c r="F2" s="3">
        <v>0.80399818804642642</v>
      </c>
      <c r="G2" s="3">
        <v>17.875828767619939</v>
      </c>
      <c r="H2" s="3">
        <v>0.96852614124500569</v>
      </c>
      <c r="I2" s="3">
        <v>3.0587834357557925E-2</v>
      </c>
      <c r="J2" s="3">
        <v>1.3263495900735047</v>
      </c>
      <c r="K2" s="3">
        <v>15.949424186313699</v>
      </c>
      <c r="L2" s="3">
        <v>0.1572265863108917</v>
      </c>
      <c r="M2" s="3">
        <v>0.69642809907898506</v>
      </c>
      <c r="N2" s="3">
        <v>25.295092876636733</v>
      </c>
      <c r="O2" s="3">
        <v>45.465956490944045</v>
      </c>
    </row>
    <row r="3" spans="1:15" x14ac:dyDescent="0.25">
      <c r="A3" s="1">
        <v>1</v>
      </c>
      <c r="B3" s="2" t="s">
        <v>15</v>
      </c>
      <c r="C3" s="3">
        <v>2023</v>
      </c>
      <c r="D3" s="1">
        <f>'[2]Profit and loss'!AU3/[2]Balance!DQ3</f>
        <v>1.8445536525597133</v>
      </c>
      <c r="E3" s="3">
        <v>18.952264396676501</v>
      </c>
      <c r="F3" s="3">
        <v>0.80647686720983591</v>
      </c>
      <c r="G3" s="3">
        <v>17.872232637182613</v>
      </c>
      <c r="H3" s="3">
        <v>0.94990733428621721</v>
      </c>
      <c r="I3" s="3">
        <v>3.4349041981508566E-2</v>
      </c>
      <c r="J3" s="3">
        <v>1.6419299838143024</v>
      </c>
      <c r="K3" s="1">
        <v>16.959165649999999</v>
      </c>
      <c r="L3" s="3">
        <v>0.17781025241211812</v>
      </c>
      <c r="M3" s="3">
        <v>0.7204919540222724</v>
      </c>
      <c r="N3" s="3">
        <v>16.091377922648164</v>
      </c>
      <c r="O3" s="3">
        <v>38.382872806480826</v>
      </c>
    </row>
    <row r="4" spans="1:15" x14ac:dyDescent="0.25">
      <c r="A4" s="1">
        <v>1</v>
      </c>
      <c r="B4" s="2" t="s">
        <v>15</v>
      </c>
      <c r="C4" s="3">
        <v>2022</v>
      </c>
      <c r="D4" s="1">
        <f>'[2]Profit and loss'!AU4/[2]Balance!DQ4</f>
        <v>0.31518614578812987</v>
      </c>
      <c r="E4" s="3">
        <v>12.448401160164799</v>
      </c>
      <c r="F4" s="3">
        <v>0.79976249532171528</v>
      </c>
      <c r="G4" s="3">
        <v>17.748429240151147</v>
      </c>
      <c r="H4" s="3">
        <v>0.94470895908035946</v>
      </c>
      <c r="I4" s="3">
        <v>6.723707551713462E-2</v>
      </c>
      <c r="J4" s="3">
        <v>1.2092156115100252</v>
      </c>
      <c r="K4" s="1">
        <f>LN([2]Balance!DQ4)</f>
        <v>15.821261828702628</v>
      </c>
      <c r="L4" s="3">
        <v>0.18066128306423157</v>
      </c>
      <c r="M4" s="3">
        <v>0.57381421447790748</v>
      </c>
      <c r="N4" s="3">
        <v>11.020561182366826</v>
      </c>
      <c r="O4" s="3">
        <v>24.486004001395056</v>
      </c>
    </row>
    <row r="5" spans="1:15" x14ac:dyDescent="0.25">
      <c r="A5" s="1">
        <v>1</v>
      </c>
      <c r="B5" s="4" t="s">
        <v>15</v>
      </c>
      <c r="C5" s="3">
        <v>2021</v>
      </c>
      <c r="D5" s="1">
        <f>'[2]Profit and loss'!AU5/[2]Balance!DQ5</f>
        <v>0.29002157035622783</v>
      </c>
      <c r="E5" s="3">
        <v>6.5953865190866603</v>
      </c>
      <c r="F5" s="3">
        <v>0.77558482976311505</v>
      </c>
      <c r="G5" s="3">
        <v>17.584653464616576</v>
      </c>
      <c r="H5" s="3">
        <v>0.76132616876120429</v>
      </c>
      <c r="I5" s="3">
        <v>7.637813695650908E-2</v>
      </c>
      <c r="J5" s="3">
        <v>1.462882921067469</v>
      </c>
      <c r="K5" s="1">
        <f>LN([2]Balance!DQ5)</f>
        <v>15.777695690920417</v>
      </c>
      <c r="L5" s="3">
        <v>0.21649333570204116</v>
      </c>
      <c r="M5" s="3">
        <v>0.58257820773413871</v>
      </c>
      <c r="N5" s="3">
        <v>24.688063750419495</v>
      </c>
      <c r="O5" s="3">
        <v>17.109899636834257</v>
      </c>
    </row>
    <row r="6" spans="1:15" x14ac:dyDescent="0.25">
      <c r="A6" s="1">
        <v>2</v>
      </c>
      <c r="B6" s="2" t="s">
        <v>16</v>
      </c>
      <c r="C6" s="3">
        <v>2024</v>
      </c>
      <c r="D6" s="3">
        <v>2.5151011428163672E-2</v>
      </c>
      <c r="E6" s="3">
        <v>4.053530097165492</v>
      </c>
      <c r="F6" s="3">
        <v>0.99553069218447843</v>
      </c>
      <c r="G6" s="3">
        <v>17.601136591584549</v>
      </c>
      <c r="H6" s="3">
        <v>0.76836130573854444</v>
      </c>
      <c r="I6" s="3">
        <v>3.748085435541022E-3</v>
      </c>
      <c r="J6" s="3">
        <v>2.2106022361256685</v>
      </c>
      <c r="K6" s="3">
        <v>15.938053254903192</v>
      </c>
      <c r="L6" s="3">
        <v>0.1931757548416711</v>
      </c>
      <c r="M6" s="3">
        <v>1.4214350567492222</v>
      </c>
      <c r="N6" s="3">
        <v>1.6240415946018438</v>
      </c>
      <c r="O6" s="3">
        <v>144.22115917087675</v>
      </c>
    </row>
    <row r="7" spans="1:15" x14ac:dyDescent="0.25">
      <c r="A7" s="1">
        <v>2</v>
      </c>
      <c r="B7" s="2" t="s">
        <v>16</v>
      </c>
      <c r="C7" s="3">
        <v>2023</v>
      </c>
      <c r="D7" s="3">
        <v>8.9882957396094448E-2</v>
      </c>
      <c r="E7" s="3">
        <v>3.9328546245536149</v>
      </c>
      <c r="F7" s="3">
        <v>1.003074407387013</v>
      </c>
      <c r="G7" s="3">
        <v>17.608300759830222</v>
      </c>
      <c r="H7" s="3">
        <v>0.74862952519416548</v>
      </c>
      <c r="I7" s="3">
        <v>1.4853347929665748E-2</v>
      </c>
      <c r="J7" s="3">
        <v>2.7532822929300758</v>
      </c>
      <c r="K7" s="3">
        <v>15.949424186313749</v>
      </c>
      <c r="L7" s="3">
        <v>0.18974700731006272</v>
      </c>
      <c r="M7" s="3">
        <v>1.7896443440800447</v>
      </c>
      <c r="N7" s="3">
        <v>42.21700993587438</v>
      </c>
      <c r="O7" s="3">
        <v>28.162802190350252</v>
      </c>
    </row>
    <row r="8" spans="1:15" x14ac:dyDescent="0.25">
      <c r="A8" s="1">
        <v>2</v>
      </c>
      <c r="B8" s="2" t="s">
        <v>16</v>
      </c>
      <c r="C8" s="3">
        <v>2022</v>
      </c>
      <c r="D8" s="3">
        <v>0.64243112804168256</v>
      </c>
      <c r="E8" s="3">
        <v>3.5189391514663235</v>
      </c>
      <c r="F8" s="3">
        <v>1.0319708936142282</v>
      </c>
      <c r="G8" s="3">
        <v>17.67829775093654</v>
      </c>
      <c r="H8" s="3">
        <v>0.72529853303609571</v>
      </c>
      <c r="I8" s="3">
        <v>0.12709676143781384</v>
      </c>
      <c r="J8" s="3">
        <v>1.8371045916155342</v>
      </c>
      <c r="K8" s="3">
        <v>16.098966244997793</v>
      </c>
      <c r="L8" s="3">
        <v>0.1873848621379407</v>
      </c>
      <c r="M8" s="3">
        <v>1.2018168012739909</v>
      </c>
      <c r="N8" s="3">
        <v>5.3918617494364041</v>
      </c>
      <c r="O8" s="3">
        <v>4.7483644358164936</v>
      </c>
    </row>
    <row r="9" spans="1:15" x14ac:dyDescent="0.25">
      <c r="A9" s="1">
        <v>2</v>
      </c>
      <c r="B9" s="4" t="s">
        <v>16</v>
      </c>
      <c r="C9" s="3">
        <v>2021</v>
      </c>
      <c r="D9" s="3">
        <v>0.46083738256969659</v>
      </c>
      <c r="E9" s="3">
        <v>3.9861329266220089</v>
      </c>
      <c r="F9" s="3">
        <v>0.88003303458699167</v>
      </c>
      <c r="G9" s="3">
        <v>17.190242190958998</v>
      </c>
      <c r="H9" s="3">
        <v>0.55712868801752113</v>
      </c>
      <c r="I9" s="3">
        <v>9.9769938680126971E-2</v>
      </c>
      <c r="J9" s="3">
        <v>2.7498622714182508</v>
      </c>
      <c r="K9" s="3">
        <v>15.222461593343098</v>
      </c>
      <c r="L9" s="3">
        <v>0.27460308137452194</v>
      </c>
      <c r="M9" s="3">
        <v>1.6723912172467819</v>
      </c>
      <c r="N9" s="3">
        <v>42.478940241699917</v>
      </c>
      <c r="O9" s="3">
        <v>3.3390116825176195</v>
      </c>
    </row>
    <row r="10" spans="1:15" x14ac:dyDescent="0.25">
      <c r="A10" s="1">
        <v>3</v>
      </c>
      <c r="B10" s="2" t="s">
        <v>17</v>
      </c>
      <c r="C10" s="3">
        <v>2024</v>
      </c>
      <c r="D10" s="3">
        <v>0.25680203178200328</v>
      </c>
      <c r="E10" s="3">
        <v>1.0753947954736196</v>
      </c>
      <c r="F10" s="3">
        <v>1.4416266168712626</v>
      </c>
      <c r="G10" s="3">
        <v>17.763014928505442</v>
      </c>
      <c r="H10" s="3">
        <v>0.45960524161747779</v>
      </c>
      <c r="I10" s="3">
        <v>8.3571347880535704E-2</v>
      </c>
      <c r="J10" s="3">
        <v>4.232684176991663</v>
      </c>
      <c r="K10" s="3">
        <v>16.912939754408008</v>
      </c>
      <c r="L10" s="3">
        <v>0.17532238643705506</v>
      </c>
      <c r="M10" s="3">
        <v>1.7146893664675407</v>
      </c>
      <c r="N10" s="3">
        <v>42.478940241699917</v>
      </c>
      <c r="O10" s="3">
        <v>3.2073186649677905</v>
      </c>
    </row>
    <row r="11" spans="1:15" x14ac:dyDescent="0.25">
      <c r="A11" s="1">
        <v>3</v>
      </c>
      <c r="B11" s="2" t="s">
        <v>17</v>
      </c>
      <c r="C11" s="3">
        <v>2023</v>
      </c>
      <c r="D11" s="3">
        <v>0.42191768717578876</v>
      </c>
      <c r="E11" s="3">
        <v>2.2975346700428751</v>
      </c>
      <c r="F11" s="3">
        <v>1.1738497654711411</v>
      </c>
      <c r="G11" s="3">
        <v>17.971064324042604</v>
      </c>
      <c r="H11" s="3">
        <v>0.64242181646315122</v>
      </c>
      <c r="I11" s="3">
        <v>0.10112938919325529</v>
      </c>
      <c r="J11" s="3">
        <v>2.6229960441523659</v>
      </c>
      <c r="K11" s="3">
        <v>16.696717502518702</v>
      </c>
      <c r="L11" s="3">
        <v>0.16007122925044709</v>
      </c>
      <c r="M11" s="3">
        <v>1.4499033804201522</v>
      </c>
      <c r="N11" s="3">
        <v>101.21714285714285</v>
      </c>
      <c r="O11" s="3">
        <v>4.3813085033440107</v>
      </c>
    </row>
    <row r="12" spans="1:15" x14ac:dyDescent="0.25">
      <c r="A12" s="1">
        <v>3</v>
      </c>
      <c r="B12" s="2" t="s">
        <v>17</v>
      </c>
      <c r="C12" s="3">
        <v>2022</v>
      </c>
      <c r="D12" s="3">
        <v>0.53147296411305289</v>
      </c>
      <c r="E12" s="3">
        <v>3.9658744642819959</v>
      </c>
      <c r="F12" s="3">
        <v>1.0684368322394218</v>
      </c>
      <c r="G12" s="3">
        <v>17.94665722175268</v>
      </c>
      <c r="H12" s="3">
        <v>0.74346656099258757</v>
      </c>
      <c r="I12" s="3">
        <v>9.3292860571071445E-2</v>
      </c>
      <c r="J12" s="3">
        <v>2.7193035348857979</v>
      </c>
      <c r="K12" s="3">
        <v>16.272499355914878</v>
      </c>
      <c r="L12" s="3">
        <v>0.15935588375900558</v>
      </c>
      <c r="M12" s="3">
        <v>1.4887938990954446</v>
      </c>
      <c r="N12" s="3">
        <v>25.402347036446542</v>
      </c>
      <c r="O12" s="3">
        <v>5.3527683601704776</v>
      </c>
    </row>
    <row r="13" spans="1:15" x14ac:dyDescent="0.25">
      <c r="A13" s="1">
        <v>3</v>
      </c>
      <c r="B13" s="4" t="s">
        <v>17</v>
      </c>
      <c r="C13" s="3">
        <v>2021</v>
      </c>
      <c r="D13" s="3">
        <v>0.6166594188130744</v>
      </c>
      <c r="E13" s="3">
        <v>5.0947977527909583</v>
      </c>
      <c r="F13" s="3">
        <v>1.0253607966073088</v>
      </c>
      <c r="G13" s="3">
        <v>17.654733360351166</v>
      </c>
      <c r="H13" s="3">
        <v>0.68293960534470177</v>
      </c>
      <c r="I13" s="3">
        <v>0.11414632165233796</v>
      </c>
      <c r="J13" s="3">
        <v>2.6454817282977721</v>
      </c>
      <c r="K13" s="3">
        <v>15.645164540818824</v>
      </c>
      <c r="L13" s="3">
        <v>0.17695458671816924</v>
      </c>
      <c r="M13" s="3">
        <v>0.99361380328806204</v>
      </c>
      <c r="N13" s="3">
        <v>10.347359009615111</v>
      </c>
      <c r="O13" s="3">
        <v>6.0214732612171717</v>
      </c>
    </row>
    <row r="14" spans="1:15" x14ac:dyDescent="0.25">
      <c r="A14" s="1">
        <v>4</v>
      </c>
      <c r="B14" s="2" t="s">
        <v>18</v>
      </c>
      <c r="C14" s="3">
        <v>2024</v>
      </c>
      <c r="D14" s="3">
        <v>8.6086237788604875E-3</v>
      </c>
      <c r="E14" s="3">
        <v>2.7245797151919482</v>
      </c>
      <c r="F14" s="3">
        <v>1.1741038005357156</v>
      </c>
      <c r="G14" s="3">
        <v>17.410579152731021</v>
      </c>
      <c r="H14" s="3">
        <v>0.69605234174409181</v>
      </c>
      <c r="I14" s="3">
        <v>7.8786497508957221E-3</v>
      </c>
      <c r="J14" s="3">
        <v>2.8887699623164411</v>
      </c>
      <c r="K14" s="3">
        <v>16.045934551647957</v>
      </c>
      <c r="L14" s="3">
        <v>0.12584620469140181</v>
      </c>
      <c r="M14" s="3">
        <v>1.5904610931051559</v>
      </c>
      <c r="N14" s="3">
        <v>10.347359009615111</v>
      </c>
      <c r="O14" s="3">
        <v>55.547824562556841</v>
      </c>
    </row>
    <row r="15" spans="1:15" x14ac:dyDescent="0.25">
      <c r="A15" s="1">
        <v>4</v>
      </c>
      <c r="B15" s="2" t="s">
        <v>18</v>
      </c>
      <c r="C15" s="3">
        <v>2023</v>
      </c>
      <c r="D15" s="3">
        <v>0.25177438098558513</v>
      </c>
      <c r="E15" s="3">
        <v>3.4997109996026983</v>
      </c>
      <c r="F15" s="3">
        <v>1.1038905907733161</v>
      </c>
      <c r="G15" s="3">
        <v>17.787304248944338</v>
      </c>
      <c r="H15" s="3">
        <v>0.61518549084739704</v>
      </c>
      <c r="I15" s="3">
        <v>3.6721150891964031E-2</v>
      </c>
      <c r="J15" s="3">
        <v>2.6629545310937615</v>
      </c>
      <c r="K15" s="3">
        <v>16.048792409883138</v>
      </c>
      <c r="L15" s="3">
        <v>9.0153281707525831E-2</v>
      </c>
      <c r="M15" s="3">
        <v>1.5133094311428632</v>
      </c>
      <c r="N15" s="3">
        <v>30.368570303582292</v>
      </c>
      <c r="O15" s="3">
        <v>11.070368086366535</v>
      </c>
    </row>
    <row r="16" spans="1:15" x14ac:dyDescent="0.25">
      <c r="A16" s="1">
        <v>4</v>
      </c>
      <c r="B16" s="2" t="s">
        <v>18</v>
      </c>
      <c r="C16" s="3">
        <v>2022</v>
      </c>
      <c r="D16" s="3">
        <v>0.49336917008528763</v>
      </c>
      <c r="E16" s="3">
        <v>7.5424621764378003E-2</v>
      </c>
      <c r="F16" s="3">
        <v>1.0665966241791101</v>
      </c>
      <c r="G16" s="3">
        <v>17.780328156267224</v>
      </c>
      <c r="H16" s="3">
        <v>1.1382898038032311E-2</v>
      </c>
      <c r="I16" s="3">
        <v>9.637549080663449E-2</v>
      </c>
      <c r="J16" s="3">
        <v>1.297638434228221</v>
      </c>
      <c r="K16" s="3">
        <v>15.889306442872721</v>
      </c>
      <c r="L16" s="3">
        <v>9.4371509790032199E-2</v>
      </c>
      <c r="M16" s="3">
        <v>0.89836050981268412</v>
      </c>
      <c r="N16" s="3">
        <v>30.368570303582292</v>
      </c>
      <c r="O16" s="3">
        <v>0.13147270243235457</v>
      </c>
    </row>
    <row r="17" spans="1:15" x14ac:dyDescent="0.25">
      <c r="A17" s="1">
        <v>4</v>
      </c>
      <c r="B17" s="4" t="s">
        <v>18</v>
      </c>
      <c r="C17" s="3">
        <v>2021</v>
      </c>
      <c r="D17" s="3">
        <v>0.10321489430505307</v>
      </c>
      <c r="E17" s="3">
        <v>4.2012081449936183</v>
      </c>
      <c r="F17" s="3">
        <v>0.94531157133724031</v>
      </c>
      <c r="G17" s="3">
        <v>17.248984404897527</v>
      </c>
      <c r="H17" s="3">
        <v>0.53503201159046465</v>
      </c>
      <c r="I17" s="3">
        <v>1.8325366824015577E-2</v>
      </c>
      <c r="J17" s="3">
        <v>2.9627153878458938</v>
      </c>
      <c r="K17" s="3">
        <v>15.188183568275024</v>
      </c>
      <c r="L17" s="3">
        <v>0.17507569207293161</v>
      </c>
      <c r="M17" s="3">
        <v>1.3249064277827749</v>
      </c>
      <c r="N17" s="3">
        <v>7.1377383446811997</v>
      </c>
      <c r="O17" s="3">
        <v>22.036462729719851</v>
      </c>
    </row>
    <row r="18" spans="1:15" x14ac:dyDescent="0.25">
      <c r="A18" s="1">
        <v>5</v>
      </c>
      <c r="B18" s="2" t="s">
        <v>19</v>
      </c>
      <c r="C18" s="3">
        <v>2024</v>
      </c>
      <c r="D18" s="3">
        <v>9.4033405912250359E-2</v>
      </c>
      <c r="E18" s="3">
        <v>4.4469034010906245</v>
      </c>
      <c r="F18" s="3">
        <v>0.99011246375515982</v>
      </c>
      <c r="G18" s="3">
        <v>18.647541083443837</v>
      </c>
      <c r="H18" s="3">
        <v>0.75427493540592916</v>
      </c>
      <c r="I18" s="3">
        <v>2.8952204545494985E-2</v>
      </c>
      <c r="J18" s="3">
        <v>3.5525788135178615</v>
      </c>
      <c r="K18" s="3">
        <v>16.873334752794733</v>
      </c>
      <c r="L18" s="3">
        <v>0.18646230955207171</v>
      </c>
      <c r="M18" s="3">
        <v>1.411038550106813</v>
      </c>
      <c r="N18" s="3">
        <v>38.915277629979329</v>
      </c>
      <c r="O18" s="3">
        <v>18.463292882784454</v>
      </c>
    </row>
    <row r="19" spans="1:15" x14ac:dyDescent="0.25">
      <c r="A19" s="1">
        <v>5</v>
      </c>
      <c r="B19" s="2" t="s">
        <v>19</v>
      </c>
      <c r="C19" s="3">
        <v>2023</v>
      </c>
      <c r="D19" s="3">
        <v>0.30402134559033595</v>
      </c>
      <c r="E19" s="3">
        <v>6.2641574908169888</v>
      </c>
      <c r="F19" s="3">
        <v>0.97816727637236822</v>
      </c>
      <c r="G19" s="3">
        <v>18.891735739069262</v>
      </c>
      <c r="H19" s="3">
        <v>0.80098849393469584</v>
      </c>
      <c r="I19" s="3">
        <v>4.6023329780021924E-2</v>
      </c>
      <c r="J19" s="3">
        <v>3.0177231720026367</v>
      </c>
      <c r="K19" s="3">
        <v>16.834982941841858</v>
      </c>
      <c r="L19" s="3">
        <v>0.16172188796376552</v>
      </c>
      <c r="M19" s="3">
        <v>1.2888316226005936</v>
      </c>
      <c r="N19" s="3">
        <v>25.759475343927928</v>
      </c>
      <c r="O19" s="3">
        <v>13.503677506514066</v>
      </c>
    </row>
    <row r="20" spans="1:15" x14ac:dyDescent="0.25">
      <c r="A20" s="1">
        <v>5</v>
      </c>
      <c r="B20" s="2" t="s">
        <v>19</v>
      </c>
      <c r="C20" s="3">
        <v>2022</v>
      </c>
      <c r="D20" s="3">
        <v>0.6959583741335944</v>
      </c>
      <c r="E20" s="3">
        <v>8.7712617215295641</v>
      </c>
      <c r="F20" s="3">
        <v>0.96190707389272556</v>
      </c>
      <c r="G20" s="3">
        <v>19.007253622513794</v>
      </c>
      <c r="H20" s="3">
        <v>0.83854550874048872</v>
      </c>
      <c r="I20" s="3">
        <v>9.620194695467027E-2</v>
      </c>
      <c r="J20" s="3">
        <v>2.3511804956041016</v>
      </c>
      <c r="K20" s="3">
        <v>16.659686533370586</v>
      </c>
      <c r="L20" s="3">
        <v>0.15804744723364456</v>
      </c>
      <c r="M20" s="3">
        <v>0.94419476101039923</v>
      </c>
      <c r="N20" s="3">
        <v>31.905610720281992</v>
      </c>
      <c r="O20" s="3">
        <v>9.2316895092483406</v>
      </c>
    </row>
    <row r="21" spans="1:15" x14ac:dyDescent="0.25">
      <c r="A21" s="1">
        <v>5</v>
      </c>
      <c r="B21" s="4" t="s">
        <v>19</v>
      </c>
      <c r="C21" s="3">
        <v>2021</v>
      </c>
      <c r="D21" s="3">
        <v>0.80346586162988443</v>
      </c>
      <c r="E21" s="3">
        <v>17.754467047360844</v>
      </c>
      <c r="F21" s="3">
        <v>0.86169061269319158</v>
      </c>
      <c r="G21" s="3">
        <v>18.602936515249169</v>
      </c>
      <c r="H21" s="3">
        <v>0.77018440696423818</v>
      </c>
      <c r="I21" s="3">
        <v>7.5573000522215911E-2</v>
      </c>
      <c r="J21" s="3">
        <v>1.9988498968560136</v>
      </c>
      <c r="K21" s="3">
        <v>15.465174063106419</v>
      </c>
      <c r="L21" s="3">
        <v>0.22828830089872745</v>
      </c>
      <c r="M21" s="3">
        <v>0.78845501719921474</v>
      </c>
      <c r="N21" s="3">
        <v>27.098400879827683</v>
      </c>
      <c r="O21" s="3">
        <v>12.925612590717078</v>
      </c>
    </row>
    <row r="22" spans="1:15" x14ac:dyDescent="0.25">
      <c r="A22" s="1">
        <v>6</v>
      </c>
      <c r="B22" s="2" t="s">
        <v>20</v>
      </c>
      <c r="C22" s="3">
        <v>2024</v>
      </c>
      <c r="D22" s="3">
        <v>4.5266503787639446E-2</v>
      </c>
      <c r="E22" s="3">
        <v>2.7000672519546653</v>
      </c>
      <c r="F22" s="3">
        <v>1.0058343008709032</v>
      </c>
      <c r="G22" s="3">
        <v>17.077338970027355</v>
      </c>
      <c r="H22" s="3">
        <v>0.70736661122012656</v>
      </c>
      <c r="I22" s="3">
        <v>8.4335646442193803E-3</v>
      </c>
      <c r="J22" s="3">
        <v>2.4426902621197266</v>
      </c>
      <c r="K22" s="3">
        <v>15.73785608657823</v>
      </c>
      <c r="L22" s="3">
        <v>0.25767528406293239</v>
      </c>
      <c r="M22" s="3">
        <v>1.674836658784598</v>
      </c>
      <c r="N22" s="3">
        <v>27.098400879827683</v>
      </c>
      <c r="O22" s="3">
        <v>50.079607942075697</v>
      </c>
    </row>
    <row r="23" spans="1:15" x14ac:dyDescent="0.25">
      <c r="A23" s="1">
        <v>6</v>
      </c>
      <c r="B23" s="2" t="s">
        <v>20</v>
      </c>
      <c r="C23" s="3">
        <v>2023</v>
      </c>
      <c r="D23" s="3">
        <v>0.17656594067142137</v>
      </c>
      <c r="E23" s="3">
        <v>3.9470540567689643</v>
      </c>
      <c r="F23" s="3">
        <v>0.99452662806274472</v>
      </c>
      <c r="G23" s="3">
        <v>17.352198599133466</v>
      </c>
      <c r="H23" s="3">
        <v>0.78464982124536298</v>
      </c>
      <c r="I23" s="3">
        <v>2.8399561196743115E-2</v>
      </c>
      <c r="J23" s="3">
        <v>2.813436325891185</v>
      </c>
      <c r="K23" s="3">
        <v>15.736711358574887</v>
      </c>
      <c r="L23" s="3">
        <v>0.2031790860495116</v>
      </c>
      <c r="M23" s="3">
        <v>1.7942723704554673</v>
      </c>
      <c r="N23" s="3">
        <v>49.474999355036061</v>
      </c>
      <c r="O23" s="3">
        <v>15.398410061536422</v>
      </c>
    </row>
    <row r="24" spans="1:15" x14ac:dyDescent="0.25">
      <c r="A24" s="1">
        <v>6</v>
      </c>
      <c r="B24" s="2" t="s">
        <v>20</v>
      </c>
      <c r="C24" s="3">
        <v>2022</v>
      </c>
      <c r="D24" s="3">
        <v>0.48008574002560711</v>
      </c>
      <c r="E24" s="3">
        <v>3.547641826625227</v>
      </c>
      <c r="F24" s="3">
        <v>0.9787238389268107</v>
      </c>
      <c r="G24" s="3">
        <v>17.420769162566895</v>
      </c>
      <c r="H24" s="3">
        <v>0.59767691168080239</v>
      </c>
      <c r="I24" s="3">
        <v>7.2113676134109628E-2</v>
      </c>
      <c r="J24" s="3">
        <v>2.2617638087677392</v>
      </c>
      <c r="K24" s="3">
        <v>15.63978110149114</v>
      </c>
      <c r="L24" s="3">
        <v>0.18616333684386513</v>
      </c>
      <c r="M24" s="3">
        <v>1.3570164080282574</v>
      </c>
      <c r="N24" s="3">
        <v>20.035695469193353</v>
      </c>
      <c r="O24" s="3">
        <v>6.1075037926699673</v>
      </c>
    </row>
    <row r="25" spans="1:15" x14ac:dyDescent="0.25">
      <c r="A25" s="1">
        <v>6</v>
      </c>
      <c r="B25" s="4" t="s">
        <v>20</v>
      </c>
      <c r="C25" s="3">
        <v>2021</v>
      </c>
      <c r="D25" s="3">
        <v>7.4396586237924792E-2</v>
      </c>
      <c r="E25" s="3">
        <v>4.9645664947629484</v>
      </c>
      <c r="F25" s="3">
        <v>0.87566633561340712</v>
      </c>
      <c r="G25" s="3">
        <v>16.97597870428033</v>
      </c>
      <c r="H25" s="3">
        <v>0.63732282662528084</v>
      </c>
      <c r="I25" s="3">
        <v>1.6220631529666435E-2</v>
      </c>
      <c r="J25" s="3">
        <v>2.0437851916659593</v>
      </c>
      <c r="K25" s="3">
        <v>14.923173763232798</v>
      </c>
      <c r="L25" s="3">
        <v>0.23939241188258675</v>
      </c>
      <c r="M25" s="3">
        <v>1.1709947313657201</v>
      </c>
      <c r="N25" s="3">
        <v>13.319481073017394</v>
      </c>
      <c r="O25" s="3">
        <v>33.553418498111256</v>
      </c>
    </row>
    <row r="26" spans="1:15" x14ac:dyDescent="0.25">
      <c r="A26" s="1">
        <v>7</v>
      </c>
      <c r="B26" s="2" t="s">
        <v>21</v>
      </c>
      <c r="C26" s="3">
        <v>2024</v>
      </c>
      <c r="D26" s="3">
        <v>2.4298603848864064E-2</v>
      </c>
      <c r="E26" s="3">
        <v>0.41540060807980222</v>
      </c>
      <c r="F26" s="3">
        <v>3.1256774073939693</v>
      </c>
      <c r="G26" s="3">
        <v>18.892294413886713</v>
      </c>
      <c r="H26" s="3">
        <v>0.2299262986327768</v>
      </c>
      <c r="I26" s="3">
        <v>2.9722094258528012E-2</v>
      </c>
      <c r="J26" s="3">
        <v>1.0890280220976394</v>
      </c>
      <c r="K26" s="3">
        <v>18.486078483356177</v>
      </c>
      <c r="L26" s="3">
        <v>0.1028239284481941</v>
      </c>
      <c r="M26" s="3">
        <v>0.79218859181493639</v>
      </c>
      <c r="N26" s="3">
        <v>13.319481073017394</v>
      </c>
      <c r="O26" s="3">
        <v>11.752812288069675</v>
      </c>
    </row>
    <row r="27" spans="1:15" x14ac:dyDescent="0.25">
      <c r="A27" s="1">
        <v>7</v>
      </c>
      <c r="B27" s="2" t="s">
        <v>21</v>
      </c>
      <c r="C27" s="3">
        <v>2023</v>
      </c>
      <c r="D27" s="3">
        <v>6.7143361331748919E-2</v>
      </c>
      <c r="E27" s="3">
        <v>0.65095796459571542</v>
      </c>
      <c r="F27" s="3">
        <v>2.2614020846834713</v>
      </c>
      <c r="G27" s="3">
        <v>19.034436959741555</v>
      </c>
      <c r="H27" s="3">
        <v>0.37083095519766046</v>
      </c>
      <c r="I27" s="3">
        <v>8.986804223767135E-2</v>
      </c>
      <c r="J27" s="3">
        <v>0.82125392523485552</v>
      </c>
      <c r="K27" s="3">
        <v>18.471738202532837</v>
      </c>
      <c r="L27" s="3">
        <v>7.9481758943354172E-2</v>
      </c>
      <c r="M27" s="3">
        <v>0.61872128335946697</v>
      </c>
      <c r="N27" s="3">
        <v>35.718209723928481</v>
      </c>
      <c r="O27" s="3">
        <v>6.6692292081851079</v>
      </c>
    </row>
    <row r="28" spans="1:15" x14ac:dyDescent="0.25">
      <c r="A28" s="1">
        <v>7</v>
      </c>
      <c r="B28" s="2" t="s">
        <v>21</v>
      </c>
      <c r="C28" s="3">
        <v>2022</v>
      </c>
      <c r="D28" s="3">
        <v>6.4193511581348547E-2</v>
      </c>
      <c r="E28" s="3">
        <v>1.1642479573393816</v>
      </c>
      <c r="F28" s="3">
        <v>1.632910279152731</v>
      </c>
      <c r="G28" s="3">
        <v>18.774295988782157</v>
      </c>
      <c r="H28" s="3">
        <v>0.46727848451760645</v>
      </c>
      <c r="I28" s="3">
        <v>6.991725488526139E-2</v>
      </c>
      <c r="J28" s="3">
        <v>0.76163974609779805</v>
      </c>
      <c r="K28" s="3">
        <v>17.861390767934473</v>
      </c>
      <c r="L28" s="3">
        <v>0.10646294273871446</v>
      </c>
      <c r="M28" s="3">
        <v>0.53126541405905492</v>
      </c>
      <c r="N28" s="3">
        <v>13.78247974234883</v>
      </c>
      <c r="O28" s="3">
        <v>12.579977732633614</v>
      </c>
    </row>
    <row r="29" spans="1:15" x14ac:dyDescent="0.25">
      <c r="A29" s="1">
        <v>7</v>
      </c>
      <c r="B29" s="4" t="s">
        <v>21</v>
      </c>
      <c r="C29" s="3">
        <v>2021</v>
      </c>
      <c r="D29" s="3">
        <v>9.5466739403230025E-4</v>
      </c>
      <c r="E29" s="3">
        <v>0.96561538604709685</v>
      </c>
      <c r="F29" s="3">
        <v>1.6470225329591339</v>
      </c>
      <c r="G29" s="3">
        <v>18.490126822059015</v>
      </c>
      <c r="H29" s="3">
        <v>0.41381969300417742</v>
      </c>
      <c r="I29" s="3">
        <v>5.6421971531401055E-3</v>
      </c>
      <c r="J29" s="3">
        <v>0.62391200758859233</v>
      </c>
      <c r="K29" s="3">
        <v>17.642791573032277</v>
      </c>
      <c r="L29" s="3">
        <v>5.8817875974520574E-2</v>
      </c>
      <c r="M29" s="3">
        <v>0.44003163088808989</v>
      </c>
      <c r="N29" s="3">
        <v>12.683247974234799</v>
      </c>
      <c r="O29" s="3">
        <v>166.67827632463954</v>
      </c>
    </row>
    <row r="30" spans="1:15" x14ac:dyDescent="0.25">
      <c r="A30" s="1">
        <v>8</v>
      </c>
      <c r="B30" s="2" t="s">
        <v>22</v>
      </c>
      <c r="C30" s="3">
        <v>2024</v>
      </c>
      <c r="D30" s="3">
        <v>0.18803362897251938</v>
      </c>
      <c r="E30" s="3">
        <v>17.271824005911576</v>
      </c>
      <c r="F30" s="3">
        <v>0.98028971432136969</v>
      </c>
      <c r="G30" s="3">
        <v>17.770893861436846</v>
      </c>
      <c r="H30" s="3">
        <v>0.91227971148297771</v>
      </c>
      <c r="I30" s="3">
        <v>1.7570433721395596E-2</v>
      </c>
      <c r="J30" s="3">
        <v>2.6035772710530161</v>
      </c>
      <c r="K30" s="3">
        <v>14.830008723093197</v>
      </c>
      <c r="L30" s="3">
        <v>7.148816492547426E-2</v>
      </c>
      <c r="M30" s="3">
        <v>1.4154086363216913</v>
      </c>
      <c r="N30" s="3">
        <v>756.99566279914575</v>
      </c>
      <c r="O30" s="3">
        <v>36.682902650707469</v>
      </c>
    </row>
    <row r="31" spans="1:15" x14ac:dyDescent="0.25">
      <c r="A31" s="1">
        <v>8</v>
      </c>
      <c r="B31" s="2" t="s">
        <v>22</v>
      </c>
      <c r="C31" s="3">
        <v>2023</v>
      </c>
      <c r="D31" s="3">
        <v>3.2644038078643618</v>
      </c>
      <c r="E31" s="3">
        <v>23.465240109875904</v>
      </c>
      <c r="F31" s="3">
        <v>0.96798635714786452</v>
      </c>
      <c r="G31" s="3">
        <v>17.755880194357921</v>
      </c>
      <c r="H31" s="3">
        <v>0.91739299478741343</v>
      </c>
      <c r="I31" s="3">
        <v>0.10058818066857889</v>
      </c>
      <c r="J31" s="3">
        <v>2.4778185285076386</v>
      </c>
      <c r="K31" s="3">
        <v>14.514140679692641</v>
      </c>
      <c r="L31" s="3">
        <v>6.9857871120803022E-2</v>
      </c>
      <c r="M31" s="3">
        <v>1.5881349155193074</v>
      </c>
      <c r="N31" s="3">
        <v>556.89566279914595</v>
      </c>
      <c r="O31" s="3">
        <v>5.7427653648791805</v>
      </c>
    </row>
    <row r="32" spans="1:15" x14ac:dyDescent="0.25">
      <c r="A32" s="1">
        <v>8</v>
      </c>
      <c r="B32" s="2" t="s">
        <v>22</v>
      </c>
      <c r="C32" s="3">
        <v>2022</v>
      </c>
      <c r="D32" s="3">
        <v>1.4660695437550499</v>
      </c>
      <c r="E32" s="3">
        <v>11.607185368860501</v>
      </c>
      <c r="F32" s="3">
        <v>0.89066809953053649</v>
      </c>
      <c r="G32" s="3">
        <v>17.816156872188309</v>
      </c>
      <c r="H32" s="3">
        <v>0.83513111171143528</v>
      </c>
      <c r="I32" s="3">
        <v>0.1027413568437318</v>
      </c>
      <c r="J32" s="3">
        <v>1.9426365843311555</v>
      </c>
      <c r="K32" s="3">
        <v>15.856195474</v>
      </c>
      <c r="L32" s="3">
        <v>4.5248781566032924E-2</v>
      </c>
      <c r="M32" s="3">
        <v>1.2565939594990607</v>
      </c>
      <c r="N32" s="3">
        <v>23.545696592241359</v>
      </c>
      <c r="O32" s="3">
        <v>6.468661097914965</v>
      </c>
    </row>
    <row r="33" spans="1:15" x14ac:dyDescent="0.25">
      <c r="A33" s="1">
        <v>8</v>
      </c>
      <c r="B33" s="4" t="s">
        <v>22</v>
      </c>
      <c r="C33" s="3">
        <v>2021</v>
      </c>
      <c r="D33" s="3">
        <v>0.17246387306450001</v>
      </c>
      <c r="E33" s="3">
        <v>2.5555299941190301</v>
      </c>
      <c r="F33" s="3">
        <v>0.67084639909986488</v>
      </c>
      <c r="G33" s="3">
        <v>17.2143015799974</v>
      </c>
      <c r="H33" s="3">
        <v>0.82660351399243037</v>
      </c>
      <c r="I33" s="3">
        <v>5.0340474008704214E-2</v>
      </c>
      <c r="J33" s="3">
        <v>2.6511455979082048</v>
      </c>
      <c r="K33" s="3">
        <v>16.678562840000001</v>
      </c>
      <c r="L33" s="3">
        <v>0.11216378191103044</v>
      </c>
      <c r="M33" s="3">
        <v>1.4249430030096335</v>
      </c>
      <c r="N33" s="3">
        <v>19.767292999707728</v>
      </c>
      <c r="O33" s="3">
        <v>11.523448188161247</v>
      </c>
    </row>
    <row r="34" spans="1:15" x14ac:dyDescent="0.25">
      <c r="A34" s="1">
        <v>9</v>
      </c>
      <c r="B34" s="2" t="s">
        <v>23</v>
      </c>
      <c r="C34" s="3">
        <v>2024</v>
      </c>
      <c r="D34" s="3">
        <v>1.5454395588534561E-2</v>
      </c>
      <c r="E34" s="3">
        <v>3.3464511240633996</v>
      </c>
      <c r="F34" s="3">
        <v>1.0816597158199388</v>
      </c>
      <c r="G34" s="3">
        <v>17.435940144923432</v>
      </c>
      <c r="H34" s="3">
        <v>0.75104179352298761</v>
      </c>
      <c r="I34" s="3">
        <v>2.1507983695534211E-2</v>
      </c>
      <c r="J34" s="3">
        <v>2.3636409083108179</v>
      </c>
      <c r="K34" s="3">
        <v>15.94174574829262</v>
      </c>
      <c r="L34" s="3">
        <v>0.36854391400071068</v>
      </c>
      <c r="M34" s="3">
        <v>1.3505723717045723</v>
      </c>
      <c r="N34" s="3">
        <v>28.151059588291528</v>
      </c>
      <c r="O34" s="3">
        <v>25.855119252459101</v>
      </c>
    </row>
    <row r="35" spans="1:15" x14ac:dyDescent="0.25">
      <c r="A35" s="1">
        <v>9</v>
      </c>
      <c r="B35" s="2" t="s">
        <v>23</v>
      </c>
      <c r="C35" s="3">
        <v>2023</v>
      </c>
      <c r="D35" s="3">
        <v>0.11584348086148573</v>
      </c>
      <c r="E35" s="3">
        <v>3.1945199980061942</v>
      </c>
      <c r="F35" s="3">
        <v>1.1905520927900999</v>
      </c>
      <c r="G35" s="3">
        <v>17.587308181645824</v>
      </c>
      <c r="H35" s="3">
        <v>0.65477914413040827</v>
      </c>
      <c r="I35" s="3">
        <v>6.5319720513955237E-2</v>
      </c>
      <c r="J35" s="3">
        <v>2.8284445637331093</v>
      </c>
      <c r="K35" s="3">
        <v>16.002414055728511</v>
      </c>
      <c r="L35" s="3">
        <v>0.36660293787241027</v>
      </c>
      <c r="M35" s="3">
        <v>1.3933515433572867</v>
      </c>
      <c r="N35" s="3">
        <v>21.94008744913258</v>
      </c>
      <c r="O35" s="3">
        <v>7.194321092780565</v>
      </c>
    </row>
    <row r="36" spans="1:15" x14ac:dyDescent="0.25">
      <c r="A36" s="1">
        <v>9</v>
      </c>
      <c r="B36" s="2" t="s">
        <v>23</v>
      </c>
      <c r="C36" s="3">
        <v>2022</v>
      </c>
      <c r="D36" s="3">
        <v>0.30752891608836819</v>
      </c>
      <c r="E36" s="3">
        <v>6.5030394183823201</v>
      </c>
      <c r="F36" s="3">
        <v>1.086404424155935</v>
      </c>
      <c r="G36" s="3">
        <v>17.651055591159718</v>
      </c>
      <c r="H36" s="3">
        <v>0.80381580937585728</v>
      </c>
      <c r="I36" s="3">
        <v>9.4189056963289497E-2</v>
      </c>
      <c r="J36" s="3">
        <v>1.8107130255911776</v>
      </c>
      <c r="K36" s="3">
        <v>15.560400791857175</v>
      </c>
      <c r="L36" s="3">
        <v>0.32833687395055805</v>
      </c>
      <c r="M36" s="3">
        <v>0.97743892278762956</v>
      </c>
      <c r="N36" s="3">
        <v>12.012281285332303</v>
      </c>
      <c r="O36" s="3">
        <v>8.7310498081272261</v>
      </c>
    </row>
    <row r="37" spans="1:15" x14ac:dyDescent="0.25">
      <c r="A37" s="1">
        <v>9</v>
      </c>
      <c r="B37" s="2" t="s">
        <v>23</v>
      </c>
      <c r="C37" s="3">
        <v>2021</v>
      </c>
      <c r="D37" s="3">
        <v>0.1347590867722348</v>
      </c>
      <c r="E37" s="3">
        <v>3.1314428328345851</v>
      </c>
      <c r="F37" s="3">
        <v>1.0609274996011862</v>
      </c>
      <c r="G37" s="3">
        <v>16.973236588136903</v>
      </c>
      <c r="H37" s="3">
        <v>0.64199998996473118</v>
      </c>
      <c r="I37" s="3">
        <v>5.7596562866982323E-2</v>
      </c>
      <c r="J37" s="3">
        <v>4.3278178104538929</v>
      </c>
      <c r="K37" s="3">
        <v>15.388575729918218</v>
      </c>
      <c r="L37" s="3">
        <v>0.20251670085603396</v>
      </c>
      <c r="M37" s="3">
        <v>1.5352081029863514</v>
      </c>
      <c r="N37" s="3">
        <v>14.61988131317757</v>
      </c>
      <c r="O37" s="3">
        <v>7.260578078157506</v>
      </c>
    </row>
    <row r="38" spans="1:15" x14ac:dyDescent="0.25">
      <c r="A38" s="1">
        <v>10</v>
      </c>
      <c r="B38" s="4" t="s">
        <v>24</v>
      </c>
      <c r="C38" s="3">
        <v>2024</v>
      </c>
      <c r="D38" s="5">
        <f>'[1]Profit and loss'!AU38/[1]Balance!DQ38</f>
        <v>0.11014617625447126</v>
      </c>
      <c r="E38" s="3">
        <v>0.41802916947844426</v>
      </c>
      <c r="F38" s="3">
        <v>1.4957994353516539</v>
      </c>
      <c r="G38" s="3">
        <v>15.457684302086451</v>
      </c>
      <c r="H38" s="3">
        <v>0.21615860646246662</v>
      </c>
      <c r="I38" s="3">
        <v>8.573498177632892E-2</v>
      </c>
      <c r="J38" s="3">
        <v>30.410771665848326</v>
      </c>
      <c r="K38" s="3">
        <v>14.798145515959042</v>
      </c>
      <c r="L38" s="3">
        <v>0.27766314836316625</v>
      </c>
      <c r="M38" s="3">
        <v>1.3553887821644173</v>
      </c>
      <c r="N38" s="3">
        <v>13.519881313277599</v>
      </c>
      <c r="O38" s="3">
        <v>1.8601612156464735</v>
      </c>
    </row>
    <row r="39" spans="1:15" x14ac:dyDescent="0.25">
      <c r="A39" s="1">
        <v>10</v>
      </c>
      <c r="B39" s="4" t="s">
        <v>24</v>
      </c>
      <c r="C39" s="3">
        <v>2023</v>
      </c>
      <c r="D39" s="5">
        <f>'[1]Profit and loss'!AU39/[1]Balance!DQ39</f>
        <v>0.19623857105355758</v>
      </c>
      <c r="E39" s="3">
        <v>0.47128371941982355</v>
      </c>
      <c r="F39" s="3">
        <v>1.2400489460519288</v>
      </c>
      <c r="G39" s="3">
        <v>15.140318774701214</v>
      </c>
      <c r="H39" s="3">
        <v>0.11893497369468317</v>
      </c>
      <c r="I39" s="3">
        <v>9.3817324380460042E-3</v>
      </c>
      <c r="J39" s="3">
        <v>8.526413324544853</v>
      </c>
      <c r="K39" s="3">
        <v>13.763435389571839</v>
      </c>
      <c r="L39" s="3">
        <v>7.2894579687445629E-2</v>
      </c>
      <c r="M39" s="3">
        <v>1.8359886107108458</v>
      </c>
      <c r="N39" s="3">
        <v>14.617521313177599</v>
      </c>
      <c r="O39" s="3">
        <v>6.9048866736049543</v>
      </c>
    </row>
    <row r="40" spans="1:15" x14ac:dyDescent="0.25">
      <c r="A40" s="1">
        <v>10</v>
      </c>
      <c r="B40" s="4" t="s">
        <v>24</v>
      </c>
      <c r="C40" s="3">
        <v>2022</v>
      </c>
      <c r="D40" s="5">
        <f>'[1]Profit and loss'!AU40/[1]Balance!DQ40</f>
        <v>0.115296303513947</v>
      </c>
      <c r="E40" s="3">
        <v>10.051908167856835</v>
      </c>
      <c r="F40" s="3">
        <v>1.0595186521760387</v>
      </c>
      <c r="G40" s="3">
        <v>16.040684234898631</v>
      </c>
      <c r="H40" s="3">
        <v>0.90736061837954707</v>
      </c>
      <c r="I40" s="3">
        <v>0</v>
      </c>
      <c r="J40" s="3">
        <v>3198.7497991076552</v>
      </c>
      <c r="K40" s="3">
        <v>13.635706437766101</v>
      </c>
      <c r="L40" s="3">
        <v>3.6121447531327427E-2</v>
      </c>
      <c r="M40" s="3">
        <v>0.90322414431480957</v>
      </c>
      <c r="N40" s="3">
        <v>11.619881313177601</v>
      </c>
      <c r="O40" s="3">
        <v>2.8601612156464702</v>
      </c>
    </row>
    <row r="41" spans="1:15" x14ac:dyDescent="0.25">
      <c r="A41" s="1">
        <v>10</v>
      </c>
      <c r="B41" s="4" t="s">
        <v>24</v>
      </c>
      <c r="C41" s="3">
        <v>2021</v>
      </c>
      <c r="D41" s="5">
        <f>'[1]Profit and loss'!AU41/[1]Balance!DQ41</f>
        <v>0.21459452570877854</v>
      </c>
      <c r="E41" s="3">
        <v>0.36657069822947719</v>
      </c>
      <c r="F41" s="3">
        <v>2.6636270935592057</v>
      </c>
      <c r="G41" s="3">
        <v>14.299117522117834</v>
      </c>
      <c r="H41" s="3">
        <v>0.26388574659674474</v>
      </c>
      <c r="I41" s="3">
        <v>0.24405889675795239</v>
      </c>
      <c r="J41" s="3">
        <v>33.667909655118223</v>
      </c>
      <c r="K41" s="3">
        <v>13.970442349786969</v>
      </c>
      <c r="L41" s="3">
        <v>0.2538562940496138</v>
      </c>
      <c r="M41" s="3">
        <v>2.850442857930727</v>
      </c>
      <c r="N41" s="3">
        <v>12.321131317760001</v>
      </c>
      <c r="O41" s="3">
        <v>0.37932280209157171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2025-01-22T08:39:44Z</dcterms:created>
  <dcterms:modified xsi:type="dcterms:W3CDTF">2025-01-22T10:34:09Z</dcterms:modified>
</cp:coreProperties>
</file>